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LE Model" sheetId="1" state="visible" r:id="rId3"/>
    <sheet name="Before vs Af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2" authorId="0">
      <text>
        <r>
          <rPr>
            <sz val="10"/>
            <rFont val="Arial"/>
            <family val="2"/>
          </rPr>
          <t xml:space="preserve">Solver 'changing cells'. Values shown are the MLE-optimal coefficients that maximize total log-likelihood (cell R4) — reproduced here via Newton-Raphson MLE (mathematically identical objective/result to Excel Solver, GRG Nonlinear, Set Objective=$R$4, Max, By Changing Cells=$R$2:$AB$2, non-negativity unchecked). Re-running Data &gt; Solver in Excel on this file will reconverge to the same values.</t>
        </r>
      </text>
    </comment>
  </commentList>
</comments>
</file>

<file path=xl/sharedStrings.xml><?xml version="1.0" encoding="utf-8"?>
<sst xmlns="http://schemas.openxmlformats.org/spreadsheetml/2006/main" count="578" uniqueCount="578">
  <si>
    <t xml:space="preserve">CustomerID</t>
  </si>
  <si>
    <t xml:space="preserve">Age</t>
  </si>
  <si>
    <t xml:space="preserve">AnnualIncome</t>
  </si>
  <si>
    <t xml:space="preserve">TotalPurchasesLastYear</t>
  </si>
  <si>
    <t xml:space="preserve">AvgOrderValue</t>
  </si>
  <si>
    <t xml:space="preserve">WebsiteVisitsLastMonth</t>
  </si>
  <si>
    <t xml:space="preserve">EmailOpenRate</t>
  </si>
  <si>
    <t xml:space="preserve">DaysSinceLastPurchase</t>
  </si>
  <si>
    <t xml:space="preserve">LoyaltyMember</t>
  </si>
  <si>
    <t xml:space="preserve">DiscountUsedBefore</t>
  </si>
  <si>
    <t xml:space="preserve">SocialMediaEngagement</t>
  </si>
  <si>
    <t xml:space="preserve">RespondedToCampaign</t>
  </si>
  <si>
    <t xml:space="preserve">Baseline Score (Logit, z)</t>
  </si>
  <si>
    <t xml:space="preserve">Baseline Probability (p)</t>
  </si>
  <si>
    <t xml:space="preserve">Likelihood</t>
  </si>
  <si>
    <t xml:space="preserve">Log-Likelihood</t>
  </si>
  <si>
    <t xml:space="preserve">Intercept</t>
  </si>
  <si>
    <t xml:space="preserve">b_Age</t>
  </si>
  <si>
    <t xml:space="preserve">b_Income</t>
  </si>
  <si>
    <t xml:space="preserve">b_TotPurch</t>
  </si>
  <si>
    <t xml:space="preserve">b_AOV</t>
  </si>
  <si>
    <t xml:space="preserve">b_WebVisits</t>
  </si>
  <si>
    <t xml:space="preserve">b_EmailOpen</t>
  </si>
  <si>
    <t xml:space="preserve">b_DaysSince</t>
  </si>
  <si>
    <t xml:space="preserve">b_Loyalty</t>
  </si>
  <si>
    <t xml:space="preserve">b_Discount</t>
  </si>
  <si>
    <t xml:space="preserve">b_SocialMedia</t>
  </si>
  <si>
    <t xml:space="preserve">Age (unch.)</t>
  </si>
  <si>
    <t xml:space="preserve">Income (unch.)</t>
  </si>
  <si>
    <t xml:space="preserve">TotPurch (unch.)</t>
  </si>
  <si>
    <t xml:space="preserve">AvgOrderValue x0.85</t>
  </si>
  <si>
    <t xml:space="preserve">WebVisits x0.90</t>
  </si>
  <si>
    <t xml:space="preserve">EmailOpen (unch.)</t>
  </si>
  <si>
    <t xml:space="preserve">DaysSince x1.20</t>
  </si>
  <si>
    <t xml:space="preserve">Loyalty (unch.)</t>
  </si>
  <si>
    <t xml:space="preserve">Discount (unch.)</t>
  </si>
  <si>
    <t xml:space="preserve">SocialMedia (unch.)</t>
  </si>
  <si>
    <t xml:space="preserve">Intervention Score (Logit)</t>
  </si>
  <si>
    <t xml:space="preserve">Intervention Probability</t>
  </si>
  <si>
    <t xml:space="preserve">CUST1000</t>
  </si>
  <si>
    <t xml:space="preserve">CUST1001</t>
  </si>
  <si>
    <t xml:space="preserve">CUST1002</t>
  </si>
  <si>
    <t xml:space="preserve">Total Log-Likelihood (Solver Objective, Max):</t>
  </si>
  <si>
    <t xml:space="preserve">CUST1003</t>
  </si>
  <si>
    <t xml:space="preserve">CUST1004</t>
  </si>
  <si>
    <t xml:space="preserve">Baseline Avg Probability of Response:</t>
  </si>
  <si>
    <t xml:space="preserve">CUST1005</t>
  </si>
  <si>
    <t xml:space="preserve">Baseline Total Expected Revenue ($):</t>
  </si>
  <si>
    <t xml:space="preserve">CUST1006</t>
  </si>
  <si>
    <t xml:space="preserve"># Customers Targeted (p &gt; 0.5):</t>
  </si>
  <si>
    <t xml:space="preserve">CUST1007</t>
  </si>
  <si>
    <t xml:space="preserve">Total Marketing Cost ($5/customer):</t>
  </si>
  <si>
    <t xml:space="preserve">CUST1008</t>
  </si>
  <si>
    <t xml:space="preserve">Expected Acquisitions (Σ p among targeted):</t>
  </si>
  <si>
    <t xml:space="preserve">CUST1009</t>
  </si>
  <si>
    <t xml:space="preserve">Baseline Cost per Acquisition (CPA, $):</t>
  </si>
  <si>
    <t xml:space="preserve">CUST1010</t>
  </si>
  <si>
    <t xml:space="preserve">CUST1011</t>
  </si>
  <si>
    <t xml:space="preserve">Intervention Avg Probability of Response:</t>
  </si>
  <si>
    <t xml:space="preserve">CUST1012</t>
  </si>
  <si>
    <t xml:space="preserve">Intervention Total Expected Revenue ($):</t>
  </si>
  <si>
    <t xml:space="preserve">CUST1013</t>
  </si>
  <si>
    <t xml:space="preserve"># Customers Targeted, Intervention (p &gt; 0.5):</t>
  </si>
  <si>
    <t xml:space="preserve">CUST1014</t>
  </si>
  <si>
    <t xml:space="preserve">Intervention Total Marketing Cost ($):</t>
  </si>
  <si>
    <t xml:space="preserve">CUST1015</t>
  </si>
  <si>
    <t xml:space="preserve">Intervention Expected Acquisitions:</t>
  </si>
  <si>
    <t xml:space="preserve">CUST1016</t>
  </si>
  <si>
    <t xml:space="preserve">Intervention Cost per Acquisition (CPA, $):</t>
  </si>
  <si>
    <t xml:space="preserve">CUST1017</t>
  </si>
  <si>
    <t xml:space="preserve">CUST1018</t>
  </si>
  <si>
    <t xml:space="preserve">SOLVER PARAMETERS (for live re-optimization in Excel)</t>
  </si>
  <si>
    <t xml:space="preserve">CUST1019</t>
  </si>
  <si>
    <t xml:space="preserve">Set Objective</t>
  </si>
  <si>
    <t xml:space="preserve">$R$4</t>
  </si>
  <si>
    <t xml:space="preserve">CUST1020</t>
  </si>
  <si>
    <t xml:space="preserve">To</t>
  </si>
  <si>
    <t xml:space="preserve">Max</t>
  </si>
  <si>
    <t xml:space="preserve">CUST1021</t>
  </si>
  <si>
    <t xml:space="preserve">By Changing Variable Cells</t>
  </si>
  <si>
    <t xml:space="preserve">$R$2:$AB$2</t>
  </si>
  <si>
    <t xml:space="preserve">CUST1022</t>
  </si>
  <si>
    <t xml:space="preserve">Constraints</t>
  </si>
  <si>
    <t xml:space="preserve">None</t>
  </si>
  <si>
    <t xml:space="preserve">CUST1023</t>
  </si>
  <si>
    <t xml:space="preserve">Non-Negative Variables</t>
  </si>
  <si>
    <t xml:space="preserve">Unchecked</t>
  </si>
  <si>
    <t xml:space="preserve">CUST1024</t>
  </si>
  <si>
    <t xml:space="preserve">Solving Method</t>
  </si>
  <si>
    <t xml:space="preserve">GRG Nonlinear</t>
  </si>
  <si>
    <t xml:space="preserve">CUST1025</t>
  </si>
  <si>
    <t xml:space="preserve">CUST1026</t>
  </si>
  <si>
    <t xml:space="preserve">Note: R2:AB2 already hold the MLE-optimal coefficients (solved via Newton-Raphson MLE in Python, the same objective Excel Solver maximizes). Running Data &gt; Solver on R4/Max/R2:AB2 in Excel will reconverge to these same values from any starting point.</t>
  </si>
  <si>
    <t xml:space="preserve">CUST1027</t>
  </si>
  <si>
    <t xml:space="preserve">CUST1028</t>
  </si>
  <si>
    <t xml:space="preserve">CUST1029</t>
  </si>
  <si>
    <t xml:space="preserve">CUST1030</t>
  </si>
  <si>
    <t xml:space="preserve">CUST1031</t>
  </si>
  <si>
    <t xml:space="preserve">CUST1032</t>
  </si>
  <si>
    <t xml:space="preserve">CUST1033</t>
  </si>
  <si>
    <t xml:space="preserve">CUST1034</t>
  </si>
  <si>
    <t xml:space="preserve">CUST1035</t>
  </si>
  <si>
    <t xml:space="preserve">CUST1036</t>
  </si>
  <si>
    <t xml:space="preserve">CUST1037</t>
  </si>
  <si>
    <t xml:space="preserve">CUST1038</t>
  </si>
  <si>
    <t xml:space="preserve">CUST1039</t>
  </si>
  <si>
    <t xml:space="preserve">CUST1040</t>
  </si>
  <si>
    <t xml:space="preserve">CUST1041</t>
  </si>
  <si>
    <t xml:space="preserve">CUST1042</t>
  </si>
  <si>
    <t xml:space="preserve">CUST1043</t>
  </si>
  <si>
    <t xml:space="preserve">CUST1044</t>
  </si>
  <si>
    <t xml:space="preserve">CUST1045</t>
  </si>
  <si>
    <t xml:space="preserve">CUST1046</t>
  </si>
  <si>
    <t xml:space="preserve">CUST1047</t>
  </si>
  <si>
    <t xml:space="preserve">CUST1048</t>
  </si>
  <si>
    <t xml:space="preserve">CUST1049</t>
  </si>
  <si>
    <t xml:space="preserve">CUST1050</t>
  </si>
  <si>
    <t xml:space="preserve">CUST1051</t>
  </si>
  <si>
    <t xml:space="preserve">CUST1052</t>
  </si>
  <si>
    <t xml:space="preserve">CUST1053</t>
  </si>
  <si>
    <t xml:space="preserve">CUST1054</t>
  </si>
  <si>
    <t xml:space="preserve">CUST1055</t>
  </si>
  <si>
    <t xml:space="preserve">CUST1056</t>
  </si>
  <si>
    <t xml:space="preserve">CUST1057</t>
  </si>
  <si>
    <t xml:space="preserve">CUST1058</t>
  </si>
  <si>
    <t xml:space="preserve">CUST1059</t>
  </si>
  <si>
    <t xml:space="preserve">CUST1060</t>
  </si>
  <si>
    <t xml:space="preserve">CUST1061</t>
  </si>
  <si>
    <t xml:space="preserve">CUST1062</t>
  </si>
  <si>
    <t xml:space="preserve">CUST1063</t>
  </si>
  <si>
    <t xml:space="preserve">CUST1064</t>
  </si>
  <si>
    <t xml:space="preserve">CUST1065</t>
  </si>
  <si>
    <t xml:space="preserve">CUST1066</t>
  </si>
  <si>
    <t xml:space="preserve">CUST1067</t>
  </si>
  <si>
    <t xml:space="preserve">CUST1068</t>
  </si>
  <si>
    <t xml:space="preserve">CUST1069</t>
  </si>
  <si>
    <t xml:space="preserve">CUST1070</t>
  </si>
  <si>
    <t xml:space="preserve">CUST1071</t>
  </si>
  <si>
    <t xml:space="preserve">CUST1072</t>
  </si>
  <si>
    <t xml:space="preserve">CUST1073</t>
  </si>
  <si>
    <t xml:space="preserve">CUST1074</t>
  </si>
  <si>
    <t xml:space="preserve">CUST1075</t>
  </si>
  <si>
    <t xml:space="preserve">CUST1076</t>
  </si>
  <si>
    <t xml:space="preserve">CUST1077</t>
  </si>
  <si>
    <t xml:space="preserve">CUST1078</t>
  </si>
  <si>
    <t xml:space="preserve">CUST1079</t>
  </si>
  <si>
    <t xml:space="preserve">CUST1080</t>
  </si>
  <si>
    <t xml:space="preserve">CUST1081</t>
  </si>
  <si>
    <t xml:space="preserve">CUST1082</t>
  </si>
  <si>
    <t xml:space="preserve">CUST1083</t>
  </si>
  <si>
    <t xml:space="preserve">CUST1084</t>
  </si>
  <si>
    <t xml:space="preserve">CUST1085</t>
  </si>
  <si>
    <t xml:space="preserve">CUST1086</t>
  </si>
  <si>
    <t xml:space="preserve">CUST1087</t>
  </si>
  <si>
    <t xml:space="preserve">CUST1088</t>
  </si>
  <si>
    <t xml:space="preserve">CUST1089</t>
  </si>
  <si>
    <t xml:space="preserve">CUST1090</t>
  </si>
  <si>
    <t xml:space="preserve">CUST1091</t>
  </si>
  <si>
    <t xml:space="preserve">CUST1092</t>
  </si>
  <si>
    <t xml:space="preserve">CUST1093</t>
  </si>
  <si>
    <t xml:space="preserve">CUST1094</t>
  </si>
  <si>
    <t xml:space="preserve">CUST1095</t>
  </si>
  <si>
    <t xml:space="preserve">CUST1096</t>
  </si>
  <si>
    <t xml:space="preserve">CUST1097</t>
  </si>
  <si>
    <t xml:space="preserve">CUST1098</t>
  </si>
  <si>
    <t xml:space="preserve">CUST1099</t>
  </si>
  <si>
    <t xml:space="preserve">CUST1100</t>
  </si>
  <si>
    <t xml:space="preserve">CUST1101</t>
  </si>
  <si>
    <t xml:space="preserve">CUST1102</t>
  </si>
  <si>
    <t xml:space="preserve">CUST1103</t>
  </si>
  <si>
    <t xml:space="preserve">CUST1104</t>
  </si>
  <si>
    <t xml:space="preserve">CUST1105</t>
  </si>
  <si>
    <t xml:space="preserve">CUST1106</t>
  </si>
  <si>
    <t xml:space="preserve">CUST1107</t>
  </si>
  <si>
    <t xml:space="preserve">CUST1108</t>
  </si>
  <si>
    <t xml:space="preserve">CUST1109</t>
  </si>
  <si>
    <t xml:space="preserve">CUST1110</t>
  </si>
  <si>
    <t xml:space="preserve">CUST1111</t>
  </si>
  <si>
    <t xml:space="preserve">CUST1112</t>
  </si>
  <si>
    <t xml:space="preserve">CUST1113</t>
  </si>
  <si>
    <t xml:space="preserve">CUST1114</t>
  </si>
  <si>
    <t xml:space="preserve">CUST1115</t>
  </si>
  <si>
    <t xml:space="preserve">CUST1116</t>
  </si>
  <si>
    <t xml:space="preserve">CUST1117</t>
  </si>
  <si>
    <t xml:space="preserve">CUST1118</t>
  </si>
  <si>
    <t xml:space="preserve">CUST1119</t>
  </si>
  <si>
    <t xml:space="preserve">CUST1120</t>
  </si>
  <si>
    <t xml:space="preserve">CUST1121</t>
  </si>
  <si>
    <t xml:space="preserve">CUST1122</t>
  </si>
  <si>
    <t xml:space="preserve">CUST1123</t>
  </si>
  <si>
    <t xml:space="preserve">CUST1124</t>
  </si>
  <si>
    <t xml:space="preserve">CUST1125</t>
  </si>
  <si>
    <t xml:space="preserve">CUST1126</t>
  </si>
  <si>
    <t xml:space="preserve">CUST1127</t>
  </si>
  <si>
    <t xml:space="preserve">CUST1128</t>
  </si>
  <si>
    <t xml:space="preserve">CUST1129</t>
  </si>
  <si>
    <t xml:space="preserve">CUST1130</t>
  </si>
  <si>
    <t xml:space="preserve">CUST1131</t>
  </si>
  <si>
    <t xml:space="preserve">CUST1132</t>
  </si>
  <si>
    <t xml:space="preserve">CUST1133</t>
  </si>
  <si>
    <t xml:space="preserve">CUST1134</t>
  </si>
  <si>
    <t xml:space="preserve">CUST1135</t>
  </si>
  <si>
    <t xml:space="preserve">CUST1136</t>
  </si>
  <si>
    <t xml:space="preserve">CUST1137</t>
  </si>
  <si>
    <t xml:space="preserve">CUST1138</t>
  </si>
  <si>
    <t xml:space="preserve">CUST1139</t>
  </si>
  <si>
    <t xml:space="preserve">CUST1140</t>
  </si>
  <si>
    <t xml:space="preserve">CUST1141</t>
  </si>
  <si>
    <t xml:space="preserve">CUST1142</t>
  </si>
  <si>
    <t xml:space="preserve">CUST1143</t>
  </si>
  <si>
    <t xml:space="preserve">CUST1144</t>
  </si>
  <si>
    <t xml:space="preserve">CUST1145</t>
  </si>
  <si>
    <t xml:space="preserve">CUST1146</t>
  </si>
  <si>
    <t xml:space="preserve">CUST1147</t>
  </si>
  <si>
    <t xml:space="preserve">CUST1148</t>
  </si>
  <si>
    <t xml:space="preserve">CUST1149</t>
  </si>
  <si>
    <t xml:space="preserve">CUST1150</t>
  </si>
  <si>
    <t xml:space="preserve">CUST1151</t>
  </si>
  <si>
    <t xml:space="preserve">CUST1152</t>
  </si>
  <si>
    <t xml:space="preserve">CUST1153</t>
  </si>
  <si>
    <t xml:space="preserve">CUST1154</t>
  </si>
  <si>
    <t xml:space="preserve">CUST1155</t>
  </si>
  <si>
    <t xml:space="preserve">CUST1156</t>
  </si>
  <si>
    <t xml:space="preserve">CUST1157</t>
  </si>
  <si>
    <t xml:space="preserve">CUST1158</t>
  </si>
  <si>
    <t xml:space="preserve">CUST1159</t>
  </si>
  <si>
    <t xml:space="preserve">CUST1160</t>
  </si>
  <si>
    <t xml:space="preserve">CUST1161</t>
  </si>
  <si>
    <t xml:space="preserve">CUST1162</t>
  </si>
  <si>
    <t xml:space="preserve">CUST1163</t>
  </si>
  <si>
    <t xml:space="preserve">CUST1164</t>
  </si>
  <si>
    <t xml:space="preserve">CUST1165</t>
  </si>
  <si>
    <t xml:space="preserve">CUST1166</t>
  </si>
  <si>
    <t xml:space="preserve">CUST1167</t>
  </si>
  <si>
    <t xml:space="preserve">CUST1168</t>
  </si>
  <si>
    <t xml:space="preserve">CUST1169</t>
  </si>
  <si>
    <t xml:space="preserve">CUST1170</t>
  </si>
  <si>
    <t xml:space="preserve">CUST1171</t>
  </si>
  <si>
    <t xml:space="preserve">CUST1172</t>
  </si>
  <si>
    <t xml:space="preserve">CUST1173</t>
  </si>
  <si>
    <t xml:space="preserve">CUST1174</t>
  </si>
  <si>
    <t xml:space="preserve">CUST1175</t>
  </si>
  <si>
    <t xml:space="preserve">CUST1176</t>
  </si>
  <si>
    <t xml:space="preserve">CUST1177</t>
  </si>
  <si>
    <t xml:space="preserve">CUST1178</t>
  </si>
  <si>
    <t xml:space="preserve">CUST1179</t>
  </si>
  <si>
    <t xml:space="preserve">CUST1180</t>
  </si>
  <si>
    <t xml:space="preserve">CUST1181</t>
  </si>
  <si>
    <t xml:space="preserve">CUST1182</t>
  </si>
  <si>
    <t xml:space="preserve">CUST1183</t>
  </si>
  <si>
    <t xml:space="preserve">CUST1184</t>
  </si>
  <si>
    <t xml:space="preserve">CUST1185</t>
  </si>
  <si>
    <t xml:space="preserve">CUST1186</t>
  </si>
  <si>
    <t xml:space="preserve">CUST1187</t>
  </si>
  <si>
    <t xml:space="preserve">CUST1188</t>
  </si>
  <si>
    <t xml:space="preserve">CUST1189</t>
  </si>
  <si>
    <t xml:space="preserve">CUST1190</t>
  </si>
  <si>
    <t xml:space="preserve">CUST1191</t>
  </si>
  <si>
    <t xml:space="preserve">CUST1192</t>
  </si>
  <si>
    <t xml:space="preserve">CUST1193</t>
  </si>
  <si>
    <t xml:space="preserve">CUST1194</t>
  </si>
  <si>
    <t xml:space="preserve">CUST1195</t>
  </si>
  <si>
    <t xml:space="preserve">CUST1196</t>
  </si>
  <si>
    <t xml:space="preserve">CUST1197</t>
  </si>
  <si>
    <t xml:space="preserve">CUST1198</t>
  </si>
  <si>
    <t xml:space="preserve">CUST1199</t>
  </si>
  <si>
    <t xml:space="preserve">CUST1200</t>
  </si>
  <si>
    <t xml:space="preserve">CUST1201</t>
  </si>
  <si>
    <t xml:space="preserve">CUST1202</t>
  </si>
  <si>
    <t xml:space="preserve">CUST1203</t>
  </si>
  <si>
    <t xml:space="preserve">CUST1204</t>
  </si>
  <si>
    <t xml:space="preserve">CUST1205</t>
  </si>
  <si>
    <t xml:space="preserve">CUST1206</t>
  </si>
  <si>
    <t xml:space="preserve">CUST1207</t>
  </si>
  <si>
    <t xml:space="preserve">CUST1208</t>
  </si>
  <si>
    <t xml:space="preserve">CUST1209</t>
  </si>
  <si>
    <t xml:space="preserve">CUST1210</t>
  </si>
  <si>
    <t xml:space="preserve">CUST1211</t>
  </si>
  <si>
    <t xml:space="preserve">CUST1212</t>
  </si>
  <si>
    <t xml:space="preserve">CUST1213</t>
  </si>
  <si>
    <t xml:space="preserve">CUST1214</t>
  </si>
  <si>
    <t xml:space="preserve">CUST1215</t>
  </si>
  <si>
    <t xml:space="preserve">CUST1216</t>
  </si>
  <si>
    <t xml:space="preserve">CUST1217</t>
  </si>
  <si>
    <t xml:space="preserve">CUST1218</t>
  </si>
  <si>
    <t xml:space="preserve">CUST1219</t>
  </si>
  <si>
    <t xml:space="preserve">CUST1220</t>
  </si>
  <si>
    <t xml:space="preserve">CUST1221</t>
  </si>
  <si>
    <t xml:space="preserve">CUST1222</t>
  </si>
  <si>
    <t xml:space="preserve">CUST1223</t>
  </si>
  <si>
    <t xml:space="preserve">CUST1224</t>
  </si>
  <si>
    <t xml:space="preserve">CUST1225</t>
  </si>
  <si>
    <t xml:space="preserve">CUST1226</t>
  </si>
  <si>
    <t xml:space="preserve">CUST1227</t>
  </si>
  <si>
    <t xml:space="preserve">CUST1228</t>
  </si>
  <si>
    <t xml:space="preserve">CUST1229</t>
  </si>
  <si>
    <t xml:space="preserve">CUST1230</t>
  </si>
  <si>
    <t xml:space="preserve">CUST1231</t>
  </si>
  <si>
    <t xml:space="preserve">CUST1232</t>
  </si>
  <si>
    <t xml:space="preserve">CUST1233</t>
  </si>
  <si>
    <t xml:space="preserve">CUST1234</t>
  </si>
  <si>
    <t xml:space="preserve">CUST1235</t>
  </si>
  <si>
    <t xml:space="preserve">CUST1236</t>
  </si>
  <si>
    <t xml:space="preserve">CUST1237</t>
  </si>
  <si>
    <t xml:space="preserve">CUST1238</t>
  </si>
  <si>
    <t xml:space="preserve">CUST1239</t>
  </si>
  <si>
    <t xml:space="preserve">CUST1240</t>
  </si>
  <si>
    <t xml:space="preserve">CUST1241</t>
  </si>
  <si>
    <t xml:space="preserve">CUST1242</t>
  </si>
  <si>
    <t xml:space="preserve">CUST1243</t>
  </si>
  <si>
    <t xml:space="preserve">CUST1244</t>
  </si>
  <si>
    <t xml:space="preserve">CUST1245</t>
  </si>
  <si>
    <t xml:space="preserve">CUST1246</t>
  </si>
  <si>
    <t xml:space="preserve">CUST1247</t>
  </si>
  <si>
    <t xml:space="preserve">CUST1248</t>
  </si>
  <si>
    <t xml:space="preserve">CUST1249</t>
  </si>
  <si>
    <t xml:space="preserve">CUST1250</t>
  </si>
  <si>
    <t xml:space="preserve">CUST1251</t>
  </si>
  <si>
    <t xml:space="preserve">CUST1252</t>
  </si>
  <si>
    <t xml:space="preserve">CUST1253</t>
  </si>
  <si>
    <t xml:space="preserve">CUST1254</t>
  </si>
  <si>
    <t xml:space="preserve">CUST1255</t>
  </si>
  <si>
    <t xml:space="preserve">CUST1256</t>
  </si>
  <si>
    <t xml:space="preserve">CUST1257</t>
  </si>
  <si>
    <t xml:space="preserve">CUST1258</t>
  </si>
  <si>
    <t xml:space="preserve">CUST1259</t>
  </si>
  <si>
    <t xml:space="preserve">CUST1260</t>
  </si>
  <si>
    <t xml:space="preserve">CUST1261</t>
  </si>
  <si>
    <t xml:space="preserve">CUST1262</t>
  </si>
  <si>
    <t xml:space="preserve">CUST1263</t>
  </si>
  <si>
    <t xml:space="preserve">CUST1264</t>
  </si>
  <si>
    <t xml:space="preserve">CUST1265</t>
  </si>
  <si>
    <t xml:space="preserve">CUST1266</t>
  </si>
  <si>
    <t xml:space="preserve">CUST1267</t>
  </si>
  <si>
    <t xml:space="preserve">CUST1268</t>
  </si>
  <si>
    <t xml:space="preserve">CUST1269</t>
  </si>
  <si>
    <t xml:space="preserve">CUST1270</t>
  </si>
  <si>
    <t xml:space="preserve">CUST1271</t>
  </si>
  <si>
    <t xml:space="preserve">CUST1272</t>
  </si>
  <si>
    <t xml:space="preserve">CUST1273</t>
  </si>
  <si>
    <t xml:space="preserve">CUST1274</t>
  </si>
  <si>
    <t xml:space="preserve">CUST1275</t>
  </si>
  <si>
    <t xml:space="preserve">CUST1276</t>
  </si>
  <si>
    <t xml:space="preserve">CUST1277</t>
  </si>
  <si>
    <t xml:space="preserve">CUST1278</t>
  </si>
  <si>
    <t xml:space="preserve">CUST1279</t>
  </si>
  <si>
    <t xml:space="preserve">CUST1280</t>
  </si>
  <si>
    <t xml:space="preserve">CUST1281</t>
  </si>
  <si>
    <t xml:space="preserve">CUST1282</t>
  </si>
  <si>
    <t xml:space="preserve">CUST1283</t>
  </si>
  <si>
    <t xml:space="preserve">CUST1284</t>
  </si>
  <si>
    <t xml:space="preserve">CUST1285</t>
  </si>
  <si>
    <t xml:space="preserve">CUST1286</t>
  </si>
  <si>
    <t xml:space="preserve">CUST1287</t>
  </si>
  <si>
    <t xml:space="preserve">CUST1288</t>
  </si>
  <si>
    <t xml:space="preserve">CUST1289</t>
  </si>
  <si>
    <t xml:space="preserve">CUST1290</t>
  </si>
  <si>
    <t xml:space="preserve">CUST1291</t>
  </si>
  <si>
    <t xml:space="preserve">CUST1292</t>
  </si>
  <si>
    <t xml:space="preserve">CUST1293</t>
  </si>
  <si>
    <t xml:space="preserve">CUST1294</t>
  </si>
  <si>
    <t xml:space="preserve">CUST1295</t>
  </si>
  <si>
    <t xml:space="preserve">CUST1296</t>
  </si>
  <si>
    <t xml:space="preserve">CUST1297</t>
  </si>
  <si>
    <t xml:space="preserve">CUST1298</t>
  </si>
  <si>
    <t xml:space="preserve">CUST1299</t>
  </si>
  <si>
    <t xml:space="preserve">CUST1300</t>
  </si>
  <si>
    <t xml:space="preserve">CUST1301</t>
  </si>
  <si>
    <t xml:space="preserve">CUST1302</t>
  </si>
  <si>
    <t xml:space="preserve">CUST1303</t>
  </si>
  <si>
    <t xml:space="preserve">CUST1304</t>
  </si>
  <si>
    <t xml:space="preserve">CUST1305</t>
  </si>
  <si>
    <t xml:space="preserve">CUST1306</t>
  </si>
  <si>
    <t xml:space="preserve">CUST1307</t>
  </si>
  <si>
    <t xml:space="preserve">CUST1308</t>
  </si>
  <si>
    <t xml:space="preserve">CUST1309</t>
  </si>
  <si>
    <t xml:space="preserve">CUST1310</t>
  </si>
  <si>
    <t xml:space="preserve">CUST1311</t>
  </si>
  <si>
    <t xml:space="preserve">CUST1312</t>
  </si>
  <si>
    <t xml:space="preserve">CUST1313</t>
  </si>
  <si>
    <t xml:space="preserve">CUST1314</t>
  </si>
  <si>
    <t xml:space="preserve">CUST1315</t>
  </si>
  <si>
    <t xml:space="preserve">CUST1316</t>
  </si>
  <si>
    <t xml:space="preserve">CUST1317</t>
  </si>
  <si>
    <t xml:space="preserve">CUST1318</t>
  </si>
  <si>
    <t xml:space="preserve">CUST1319</t>
  </si>
  <si>
    <t xml:space="preserve">CUST1320</t>
  </si>
  <si>
    <t xml:space="preserve">CUST1321</t>
  </si>
  <si>
    <t xml:space="preserve">CUST1322</t>
  </si>
  <si>
    <t xml:space="preserve">CUST1323</t>
  </si>
  <si>
    <t xml:space="preserve">CUST1324</t>
  </si>
  <si>
    <t xml:space="preserve">CUST1325</t>
  </si>
  <si>
    <t xml:space="preserve">CUST1326</t>
  </si>
  <si>
    <t xml:space="preserve">CUST1327</t>
  </si>
  <si>
    <t xml:space="preserve">CUST1328</t>
  </si>
  <si>
    <t xml:space="preserve">CUST1329</t>
  </si>
  <si>
    <t xml:space="preserve">CUST1330</t>
  </si>
  <si>
    <t xml:space="preserve">CUST1331</t>
  </si>
  <si>
    <t xml:space="preserve">CUST1332</t>
  </si>
  <si>
    <t xml:space="preserve">CUST1333</t>
  </si>
  <si>
    <t xml:space="preserve">CUST1334</t>
  </si>
  <si>
    <t xml:space="preserve">CUST1335</t>
  </si>
  <si>
    <t xml:space="preserve">CUST1336</t>
  </si>
  <si>
    <t xml:space="preserve">CUST1337</t>
  </si>
  <si>
    <t xml:space="preserve">CUST1338</t>
  </si>
  <si>
    <t xml:space="preserve">CUST1339</t>
  </si>
  <si>
    <t xml:space="preserve">CUST1340</t>
  </si>
  <si>
    <t xml:space="preserve">CUST1341</t>
  </si>
  <si>
    <t xml:space="preserve">CUST1342</t>
  </si>
  <si>
    <t xml:space="preserve">CUST1343</t>
  </si>
  <si>
    <t xml:space="preserve">CUST1344</t>
  </si>
  <si>
    <t xml:space="preserve">CUST1345</t>
  </si>
  <si>
    <t xml:space="preserve">CUST1346</t>
  </si>
  <si>
    <t xml:space="preserve">CUST1347</t>
  </si>
  <si>
    <t xml:space="preserve">CUST1348</t>
  </si>
  <si>
    <t xml:space="preserve">CUST1349</t>
  </si>
  <si>
    <t xml:space="preserve">CUST1350</t>
  </si>
  <si>
    <t xml:space="preserve">CUST1351</t>
  </si>
  <si>
    <t xml:space="preserve">CUST1352</t>
  </si>
  <si>
    <t xml:space="preserve">CUST1353</t>
  </si>
  <si>
    <t xml:space="preserve">CUST1354</t>
  </si>
  <si>
    <t xml:space="preserve">CUST1355</t>
  </si>
  <si>
    <t xml:space="preserve">CUST1356</t>
  </si>
  <si>
    <t xml:space="preserve">CUST1357</t>
  </si>
  <si>
    <t xml:space="preserve">CUST1358</t>
  </si>
  <si>
    <t xml:space="preserve">CUST1359</t>
  </si>
  <si>
    <t xml:space="preserve">CUST1360</t>
  </si>
  <si>
    <t xml:space="preserve">CUST1361</t>
  </si>
  <si>
    <t xml:space="preserve">CUST1362</t>
  </si>
  <si>
    <t xml:space="preserve">CUST1363</t>
  </si>
  <si>
    <t xml:space="preserve">CUST1364</t>
  </si>
  <si>
    <t xml:space="preserve">CUST1365</t>
  </si>
  <si>
    <t xml:space="preserve">CUST1366</t>
  </si>
  <si>
    <t xml:space="preserve">CUST1367</t>
  </si>
  <si>
    <t xml:space="preserve">CUST1368</t>
  </si>
  <si>
    <t xml:space="preserve">CUST1369</t>
  </si>
  <si>
    <t xml:space="preserve">CUST1370</t>
  </si>
  <si>
    <t xml:space="preserve">CUST1371</t>
  </si>
  <si>
    <t xml:space="preserve">CUST1372</t>
  </si>
  <si>
    <t xml:space="preserve">CUST1373</t>
  </si>
  <si>
    <t xml:space="preserve">CUST1374</t>
  </si>
  <si>
    <t xml:space="preserve">CUST1375</t>
  </si>
  <si>
    <t xml:space="preserve">CUST1376</t>
  </si>
  <si>
    <t xml:space="preserve">CUST1377</t>
  </si>
  <si>
    <t xml:space="preserve">CUST1378</t>
  </si>
  <si>
    <t xml:space="preserve">CUST1379</t>
  </si>
  <si>
    <t xml:space="preserve">CUST1380</t>
  </si>
  <si>
    <t xml:space="preserve">CUST1381</t>
  </si>
  <si>
    <t xml:space="preserve">CUST1382</t>
  </si>
  <si>
    <t xml:space="preserve">CUST1383</t>
  </si>
  <si>
    <t xml:space="preserve">CUST1384</t>
  </si>
  <si>
    <t xml:space="preserve">CUST1385</t>
  </si>
  <si>
    <t xml:space="preserve">CUST1386</t>
  </si>
  <si>
    <t xml:space="preserve">CUST1387</t>
  </si>
  <si>
    <t xml:space="preserve">CUST1388</t>
  </si>
  <si>
    <t xml:space="preserve">CUST1389</t>
  </si>
  <si>
    <t xml:space="preserve">CUST1390</t>
  </si>
  <si>
    <t xml:space="preserve">CUST1391</t>
  </si>
  <si>
    <t xml:space="preserve">CUST1392</t>
  </si>
  <si>
    <t xml:space="preserve">CUST1393</t>
  </si>
  <si>
    <t xml:space="preserve">CUST1394</t>
  </si>
  <si>
    <t xml:space="preserve">CUST1395</t>
  </si>
  <si>
    <t xml:space="preserve">CUST1396</t>
  </si>
  <si>
    <t xml:space="preserve">CUST1397</t>
  </si>
  <si>
    <t xml:space="preserve">CUST1398</t>
  </si>
  <si>
    <t xml:space="preserve">CUST1399</t>
  </si>
  <si>
    <t xml:space="preserve">CUST1400</t>
  </si>
  <si>
    <t xml:space="preserve">CUST1401</t>
  </si>
  <si>
    <t xml:space="preserve">CUST1402</t>
  </si>
  <si>
    <t xml:space="preserve">CUST1403</t>
  </si>
  <si>
    <t xml:space="preserve">CUST1404</t>
  </si>
  <si>
    <t xml:space="preserve">CUST1405</t>
  </si>
  <si>
    <t xml:space="preserve">CUST1406</t>
  </si>
  <si>
    <t xml:space="preserve">CUST1407</t>
  </si>
  <si>
    <t xml:space="preserve">CUST1408</t>
  </si>
  <si>
    <t xml:space="preserve">CUST1409</t>
  </si>
  <si>
    <t xml:space="preserve">CUST1410</t>
  </si>
  <si>
    <t xml:space="preserve">CUST1411</t>
  </si>
  <si>
    <t xml:space="preserve">CUST1412</t>
  </si>
  <si>
    <t xml:space="preserve">CUST1413</t>
  </si>
  <si>
    <t xml:space="preserve">CUST1414</t>
  </si>
  <si>
    <t xml:space="preserve">CUST1415</t>
  </si>
  <si>
    <t xml:space="preserve">CUST1416</t>
  </si>
  <si>
    <t xml:space="preserve">CUST1417</t>
  </si>
  <si>
    <t xml:space="preserve">CUST1418</t>
  </si>
  <si>
    <t xml:space="preserve">CUST1419</t>
  </si>
  <si>
    <t xml:space="preserve">CUST1420</t>
  </si>
  <si>
    <t xml:space="preserve">CUST1421</t>
  </si>
  <si>
    <t xml:space="preserve">CUST1422</t>
  </si>
  <si>
    <t xml:space="preserve">CUST1423</t>
  </si>
  <si>
    <t xml:space="preserve">CUST1424</t>
  </si>
  <si>
    <t xml:space="preserve">CUST1425</t>
  </si>
  <si>
    <t xml:space="preserve">CUST1426</t>
  </si>
  <si>
    <t xml:space="preserve">CUST1427</t>
  </si>
  <si>
    <t xml:space="preserve">CUST1428</t>
  </si>
  <si>
    <t xml:space="preserve">CUST1429</t>
  </si>
  <si>
    <t xml:space="preserve">CUST1430</t>
  </si>
  <si>
    <t xml:space="preserve">CUST1431</t>
  </si>
  <si>
    <t xml:space="preserve">CUST1432</t>
  </si>
  <si>
    <t xml:space="preserve">CUST1433</t>
  </si>
  <si>
    <t xml:space="preserve">CUST1434</t>
  </si>
  <si>
    <t xml:space="preserve">CUST1435</t>
  </si>
  <si>
    <t xml:space="preserve">CUST1436</t>
  </si>
  <si>
    <t xml:space="preserve">CUST1437</t>
  </si>
  <si>
    <t xml:space="preserve">CUST1438</t>
  </si>
  <si>
    <t xml:space="preserve">CUST1439</t>
  </si>
  <si>
    <t xml:space="preserve">CUST1440</t>
  </si>
  <si>
    <t xml:space="preserve">CUST1441</t>
  </si>
  <si>
    <t xml:space="preserve">CUST1442</t>
  </si>
  <si>
    <t xml:space="preserve">CUST1443</t>
  </si>
  <si>
    <t xml:space="preserve">CUST1444</t>
  </si>
  <si>
    <t xml:space="preserve">CUST1445</t>
  </si>
  <si>
    <t xml:space="preserve">CUST1446</t>
  </si>
  <si>
    <t xml:space="preserve">CUST1447</t>
  </si>
  <si>
    <t xml:space="preserve">CUST1448</t>
  </si>
  <si>
    <t xml:space="preserve">CUST1449</t>
  </si>
  <si>
    <t xml:space="preserve">CUST1450</t>
  </si>
  <si>
    <t xml:space="preserve">CUST1451</t>
  </si>
  <si>
    <t xml:space="preserve">CUST1452</t>
  </si>
  <si>
    <t xml:space="preserve">CUST1453</t>
  </si>
  <si>
    <t xml:space="preserve">CUST1454</t>
  </si>
  <si>
    <t xml:space="preserve">CUST1455</t>
  </si>
  <si>
    <t xml:space="preserve">CUST1456</t>
  </si>
  <si>
    <t xml:space="preserve">CUST1457</t>
  </si>
  <si>
    <t xml:space="preserve">CUST1458</t>
  </si>
  <si>
    <t xml:space="preserve">CUST1459</t>
  </si>
  <si>
    <t xml:space="preserve">CUST1460</t>
  </si>
  <si>
    <t xml:space="preserve">CUST1461</t>
  </si>
  <si>
    <t xml:space="preserve">CUST1462</t>
  </si>
  <si>
    <t xml:space="preserve">CUST1463</t>
  </si>
  <si>
    <t xml:space="preserve">CUST1464</t>
  </si>
  <si>
    <t xml:space="preserve">CUST1465</t>
  </si>
  <si>
    <t xml:space="preserve">CUST1466</t>
  </si>
  <si>
    <t xml:space="preserve">CUST1467</t>
  </si>
  <si>
    <t xml:space="preserve">CUST1468</t>
  </si>
  <si>
    <t xml:space="preserve">CUST1469</t>
  </si>
  <si>
    <t xml:space="preserve">CUST1470</t>
  </si>
  <si>
    <t xml:space="preserve">CUST1471</t>
  </si>
  <si>
    <t xml:space="preserve">CUST1472</t>
  </si>
  <si>
    <t xml:space="preserve">CUST1473</t>
  </si>
  <si>
    <t xml:space="preserve">CUST1474</t>
  </si>
  <si>
    <t xml:space="preserve">CUST1475</t>
  </si>
  <si>
    <t xml:space="preserve">CUST1476</t>
  </si>
  <si>
    <t xml:space="preserve">CUST1477</t>
  </si>
  <si>
    <t xml:space="preserve">CUST1478</t>
  </si>
  <si>
    <t xml:space="preserve">CUST1479</t>
  </si>
  <si>
    <t xml:space="preserve">CUST1480</t>
  </si>
  <si>
    <t xml:space="preserve">CUST1481</t>
  </si>
  <si>
    <t xml:space="preserve">CUST1482</t>
  </si>
  <si>
    <t xml:space="preserve">CUST1483</t>
  </si>
  <si>
    <t xml:space="preserve">CUST1484</t>
  </si>
  <si>
    <t xml:space="preserve">CUST1485</t>
  </si>
  <si>
    <t xml:space="preserve">CUST1486</t>
  </si>
  <si>
    <t xml:space="preserve">CUST1487</t>
  </si>
  <si>
    <t xml:space="preserve">CUST1488</t>
  </si>
  <si>
    <t xml:space="preserve">CUST1489</t>
  </si>
  <si>
    <t xml:space="preserve">CUST1490</t>
  </si>
  <si>
    <t xml:space="preserve">CUST1491</t>
  </si>
  <si>
    <t xml:space="preserve">CUST1492</t>
  </si>
  <si>
    <t xml:space="preserve">CUST1493</t>
  </si>
  <si>
    <t xml:space="preserve">CUST1494</t>
  </si>
  <si>
    <t xml:space="preserve">CUST1495</t>
  </si>
  <si>
    <t xml:space="preserve">CUST1496</t>
  </si>
  <si>
    <t xml:space="preserve">CUST1497</t>
  </si>
  <si>
    <t xml:space="preserve">CUST1498</t>
  </si>
  <si>
    <t xml:space="preserve">CUST1499</t>
  </si>
  <si>
    <t xml:space="preserve">Inflationary Pressure Scenario — Before vs. After KPI Comparison</t>
  </si>
  <si>
    <t xml:space="preserve">KPI</t>
  </si>
  <si>
    <t xml:space="preserve">Baseline (Pre-Inflation)</t>
  </si>
  <si>
    <t xml:space="preserve">Intervention (Post-Inflation Shock)</t>
  </si>
  <si>
    <t xml:space="preserve">Δ Change</t>
  </si>
  <si>
    <t xml:space="preserve">% Change</t>
  </si>
  <si>
    <t xml:space="preserve">Average Probability of Response</t>
  </si>
  <si>
    <t xml:space="preserve">Total Expected Revenue ($)</t>
  </si>
  <si>
    <t xml:space="preserve"># Customers Targeted (p &gt; 0.5)</t>
  </si>
  <si>
    <t xml:space="preserve">Total Marketing Cost ($)</t>
  </si>
  <si>
    <t xml:space="preserve">Cost per Acquisition (CPA, $)</t>
  </si>
  <si>
    <t xml:space="preserve">Interpretation: Coefficients (Model sheet, R2:AB2) are fixed across both scenarios — they represent the stable historical relationship between customer attributes and campaign response, estimated once via Maximum Likelihood. Phase 2 changes only the customer-level inputs (AvgOrderValue -15%, WebsiteVisits -10%, DaysSinceLastPurchase +20%), so every KPI shift above is attributable purely to those three shocks acting through the fixed logistic weights. Revenue falls disproportionately because probability drops AND per-conversion order value drops simultaneously (a compounding effect), while CPA rises because the same $5/customer spend converts fewer of the remaining 'fence-sitter' customers near p=0.5.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</si>
</sst>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00000"/>
    <numFmt numFmtId="167" formatCode="General"/>
    <numFmt numFmtId="168" formatCode="0.0000"/>
    <numFmt numFmtId="169" formatCode="0.00%"/>
    <numFmt numFmtId="170" formatCode="\$#,##0.00"/>
    <numFmt numFmtId="171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2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4" min="13" style="0" width="12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28" min="19" style="0" width="10"/>
    <col collapsed="false" customWidth="true" hidden="false" outlineLevel="0" max="30" min="30" style="0" width="11"/>
    <col collapsed="false" customWidth="true" hidden="false" outlineLevel="0" max="32" min="31" style="0" width="12"/>
    <col collapsed="false" customWidth="true" hidden="false" outlineLevel="0" max="33" min="33" style="0" width="14"/>
    <col collapsed="false" customWidth="true" hidden="false" outlineLevel="0" max="35" min="34" style="0" width="12"/>
    <col collapsed="false" customWidth="true" hidden="false" outlineLevel="0" max="36" min="36" style="0" width="14"/>
    <col collapsed="false" customWidth="true" hidden="false" outlineLevel="0" max="37" min="37" style="0" width="11"/>
    <col collapsed="false" customWidth="true" hidden="false" outlineLevel="0" max="38" min="38" style="0" width="12"/>
    <col collapsed="false" customWidth="true" hidden="false" outlineLevel="0" max="39" min="39" style="0" width="13"/>
    <col collapsed="false" customWidth="true" hidden="false" outlineLevel="0" max="41" min="40" style="0" width="1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</row>
    <row r="2" customFormat="false" ht="15" hidden="false" customHeight="false" outlineLevel="0" collapsed="false">
      <c r="A2" s="3" t="s">
        <v>39</v>
      </c>
      <c r="B2" s="4" t="n">
        <v>56</v>
      </c>
      <c r="C2" s="4" t="n">
        <v>93200</v>
      </c>
      <c r="D2" s="4" t="n">
        <v>8</v>
      </c>
      <c r="E2" s="5" t="n">
        <v>39.74</v>
      </c>
      <c r="F2" s="4" t="n">
        <v>4</v>
      </c>
      <c r="G2" s="5" t="n">
        <v>0.58</v>
      </c>
      <c r="H2" s="4" t="n">
        <v>228</v>
      </c>
      <c r="I2" s="4" t="n">
        <v>1</v>
      </c>
      <c r="J2" s="4" t="n">
        <v>0</v>
      </c>
      <c r="K2" s="5" t="n">
        <v>0.04</v>
      </c>
      <c r="L2" s="4" t="n">
        <v>1</v>
      </c>
      <c r="M2" s="6" t="n">
        <f aca="false">$R$2 + SUMPRODUCT(B2:K2,$S$2:$AB$2)</f>
        <v>0.286988920000001</v>
      </c>
      <c r="N2" s="6" t="n">
        <f aca="false">1/(1+EXP(-M2))</f>
        <v>0.571258811409555</v>
      </c>
      <c r="O2" s="6" t="n">
        <f aca="false">IF(L2=1,N2,1-N2)</f>
        <v>0.571258811409555</v>
      </c>
      <c r="P2" s="6" t="n">
        <f aca="false">LN(O2)</f>
        <v>-0.559912912105717</v>
      </c>
      <c r="R2" s="7" t="n">
        <v>-4.136772</v>
      </c>
      <c r="S2" s="7" t="n">
        <v>-0.011531</v>
      </c>
      <c r="T2" s="7" t="n">
        <v>2.3E-005</v>
      </c>
      <c r="U2" s="7" t="n">
        <v>0.189009</v>
      </c>
      <c r="V2" s="7" t="n">
        <v>0.013433</v>
      </c>
      <c r="W2" s="7" t="n">
        <v>0.116063</v>
      </c>
      <c r="X2" s="7" t="n">
        <v>1.651471</v>
      </c>
      <c r="Y2" s="7" t="n">
        <v>-0.005758</v>
      </c>
      <c r="Z2" s="7" t="n">
        <v>0.725131</v>
      </c>
      <c r="AA2" s="7" t="n">
        <v>0.629504</v>
      </c>
      <c r="AB2" s="7" t="n">
        <v>1.139633</v>
      </c>
      <c r="AD2" s="8" t="n">
        <f aca="false">B2</f>
        <v>56</v>
      </c>
      <c r="AE2" s="8" t="n">
        <f aca="false">C2</f>
        <v>93200</v>
      </c>
      <c r="AF2" s="8" t="n">
        <f aca="false">D2</f>
        <v>8</v>
      </c>
      <c r="AG2" s="9" t="n">
        <f aca="false">E2*0.85</f>
        <v>33.779</v>
      </c>
      <c r="AH2" s="9" t="n">
        <f aca="false">F2*0.9</f>
        <v>3.6</v>
      </c>
      <c r="AI2" s="9" t="n">
        <f aca="false">G2</f>
        <v>0.58</v>
      </c>
      <c r="AJ2" s="9" t="n">
        <f aca="false">H2*1.2</f>
        <v>273.6</v>
      </c>
      <c r="AK2" s="8" t="n">
        <f aca="false">I2</f>
        <v>1</v>
      </c>
      <c r="AL2" s="8" t="n">
        <f aca="false">J2</f>
        <v>0</v>
      </c>
      <c r="AM2" s="9" t="n">
        <f aca="false">K2</f>
        <v>0.04</v>
      </c>
      <c r="AN2" s="6" t="n">
        <f aca="false">$R$2 + SUMPRODUCT(AD2:AM2,$S$2:$AB$2)</f>
        <v>-0.102075192999999</v>
      </c>
      <c r="AO2" s="6" t="n">
        <f aca="false">1/(1+EXP(-AN2))</f>
        <v>0.474503336118026</v>
      </c>
    </row>
    <row r="3" customFormat="false" ht="15" hidden="false" customHeight="false" outlineLevel="0" collapsed="false">
      <c r="A3" s="3" t="s">
        <v>40</v>
      </c>
      <c r="B3" s="4" t="n">
        <v>69</v>
      </c>
      <c r="C3" s="4" t="n">
        <v>73600</v>
      </c>
      <c r="D3" s="4" t="n">
        <v>4</v>
      </c>
      <c r="E3" s="5" t="n">
        <v>52.12</v>
      </c>
      <c r="F3" s="4" t="n">
        <v>3</v>
      </c>
      <c r="G3" s="5" t="n">
        <v>0.62</v>
      </c>
      <c r="H3" s="4" t="n">
        <v>79</v>
      </c>
      <c r="I3" s="4" t="n">
        <v>0</v>
      </c>
      <c r="J3" s="4" t="n">
        <v>1</v>
      </c>
      <c r="K3" s="5" t="n">
        <v>0.34</v>
      </c>
      <c r="L3" s="4" t="n">
        <v>1</v>
      </c>
      <c r="M3" s="6" t="n">
        <f aca="false">$R$2 + SUMPRODUCT(B3:K3,$S$2:$AB$2)</f>
        <v>0.1507512</v>
      </c>
      <c r="N3" s="6" t="n">
        <f aca="false">1/(1+EXP(-M3))</f>
        <v>0.537616587658095</v>
      </c>
      <c r="O3" s="6" t="n">
        <f aca="false">IF(L3=1,N3,1-N3)</f>
        <v>0.537616587658095</v>
      </c>
      <c r="P3" s="6" t="n">
        <f aca="false">LN(O3)</f>
        <v>-0.620609635230427</v>
      </c>
      <c r="AD3" s="8" t="n">
        <f aca="false">B3</f>
        <v>69</v>
      </c>
      <c r="AE3" s="8" t="n">
        <f aca="false">C3</f>
        <v>73600</v>
      </c>
      <c r="AF3" s="8" t="n">
        <f aca="false">D3</f>
        <v>4</v>
      </c>
      <c r="AG3" s="9" t="n">
        <f aca="false">E3*0.85</f>
        <v>44.302</v>
      </c>
      <c r="AH3" s="9" t="n">
        <f aca="false">F3*0.9</f>
        <v>2.7</v>
      </c>
      <c r="AI3" s="9" t="n">
        <f aca="false">G3</f>
        <v>0.62</v>
      </c>
      <c r="AJ3" s="9" t="n">
        <f aca="false">H3*1.2</f>
        <v>94.8</v>
      </c>
      <c r="AK3" s="8" t="n">
        <f aca="false">I3</f>
        <v>0</v>
      </c>
      <c r="AL3" s="8" t="n">
        <f aca="false">J3</f>
        <v>1</v>
      </c>
      <c r="AM3" s="9" t="n">
        <f aca="false">K3</f>
        <v>0.34</v>
      </c>
      <c r="AN3" s="6" t="n">
        <f aca="false">$R$2 + SUMPRODUCT(AD3:AM3,$S$2:$AB$2)</f>
        <v>-0.0800632939999995</v>
      </c>
      <c r="AO3" s="6" t="n">
        <f aca="false">1/(1+EXP(-AN3))</f>
        <v>0.479994861655031</v>
      </c>
    </row>
    <row r="4" customFormat="false" ht="15" hidden="false" customHeight="false" outlineLevel="0" collapsed="false">
      <c r="A4" s="3" t="s">
        <v>41</v>
      </c>
      <c r="B4" s="4" t="n">
        <v>46</v>
      </c>
      <c r="C4" s="4" t="n">
        <v>27700</v>
      </c>
      <c r="D4" s="4" t="n">
        <v>3</v>
      </c>
      <c r="E4" s="5" t="n">
        <v>103.25</v>
      </c>
      <c r="F4" s="4" t="n">
        <v>6</v>
      </c>
      <c r="G4" s="5" t="n">
        <v>0.74</v>
      </c>
      <c r="H4" s="4" t="n">
        <v>96</v>
      </c>
      <c r="I4" s="4" t="n">
        <v>1</v>
      </c>
      <c r="J4" s="4" t="n">
        <v>0</v>
      </c>
      <c r="K4" s="5" t="n">
        <v>0.03</v>
      </c>
      <c r="L4" s="4" t="n">
        <v>1</v>
      </c>
      <c r="M4" s="6" t="n">
        <f aca="false">$R$2 + SUMPRODUCT(B4:K4,$S$2:$AB$2)</f>
        <v>0.04890478</v>
      </c>
      <c r="N4" s="6" t="n">
        <f aca="false">1/(1+EXP(-M4))</f>
        <v>0.512223758823022</v>
      </c>
      <c r="O4" s="6" t="n">
        <f aca="false">IF(L4=1,N4,1-N4)</f>
        <v>0.512223758823022</v>
      </c>
      <c r="P4" s="6" t="n">
        <f aca="false">LN(O4)</f>
        <v>-0.668993720460752</v>
      </c>
      <c r="Q4" s="10" t="s">
        <v>42</v>
      </c>
      <c r="R4" s="11" t="n">
        <f aca="false">SUM(P2:P501)</f>
        <v>-287.604983542154</v>
      </c>
      <c r="AD4" s="8" t="n">
        <f aca="false">B4</f>
        <v>46</v>
      </c>
      <c r="AE4" s="8" t="n">
        <f aca="false">C4</f>
        <v>27700</v>
      </c>
      <c r="AF4" s="8" t="n">
        <f aca="false">D4</f>
        <v>3</v>
      </c>
      <c r="AG4" s="9" t="n">
        <f aca="false">E4*0.85</f>
        <v>87.7625</v>
      </c>
      <c r="AH4" s="9" t="n">
        <f aca="false">F4*0.9</f>
        <v>5.4</v>
      </c>
      <c r="AI4" s="9" t="n">
        <f aca="false">G4</f>
        <v>0.74</v>
      </c>
      <c r="AJ4" s="9" t="n">
        <f aca="false">H4*1.2</f>
        <v>115.2</v>
      </c>
      <c r="AK4" s="8" t="n">
        <f aca="false">I4</f>
        <v>1</v>
      </c>
      <c r="AL4" s="8" t="n">
        <f aca="false">J4</f>
        <v>0</v>
      </c>
      <c r="AM4" s="9" t="n">
        <f aca="false">K4</f>
        <v>0.03</v>
      </c>
      <c r="AN4" s="6" t="n">
        <f aca="false">$R$2 + SUMPRODUCT(AD4:AM4,$S$2:$AB$2)</f>
        <v>-0.339330207499999</v>
      </c>
      <c r="AO4" s="6" t="n">
        <f aca="false">1/(1+EXP(-AN4))</f>
        <v>0.415972186839931</v>
      </c>
    </row>
    <row r="5" customFormat="false" ht="15" hidden="false" customHeight="false" outlineLevel="0" collapsed="false">
      <c r="A5" s="3" t="s">
        <v>43</v>
      </c>
      <c r="B5" s="4" t="n">
        <v>32</v>
      </c>
      <c r="C5" s="4" t="n">
        <v>46300</v>
      </c>
      <c r="D5" s="4" t="n">
        <v>9</v>
      </c>
      <c r="E5" s="5" t="n">
        <v>81.62</v>
      </c>
      <c r="F5" s="4" t="n">
        <v>2</v>
      </c>
      <c r="G5" s="5" t="n">
        <v>0.38</v>
      </c>
      <c r="H5" s="4" t="n">
        <v>349</v>
      </c>
      <c r="I5" s="4" t="n">
        <v>0</v>
      </c>
      <c r="J5" s="4" t="n">
        <v>0</v>
      </c>
      <c r="K5" s="5" t="n">
        <v>0.44</v>
      </c>
      <c r="L5" s="4" t="n">
        <v>0</v>
      </c>
      <c r="M5" s="6" t="n">
        <f aca="false">$R$2 + SUMPRODUCT(B5:K5,$S$2:$AB$2)</f>
        <v>-1.29180004</v>
      </c>
      <c r="N5" s="6" t="n">
        <f aca="false">1/(1+EXP(-M5))</f>
        <v>0.2155482912141</v>
      </c>
      <c r="O5" s="6" t="n">
        <f aca="false">IF(L5=1,N5,1-N5)</f>
        <v>0.7844517087859</v>
      </c>
      <c r="P5" s="6" t="n">
        <f aca="false">LN(O5)</f>
        <v>-0.242770265382006</v>
      </c>
      <c r="AD5" s="8" t="n">
        <f aca="false">B5</f>
        <v>32</v>
      </c>
      <c r="AE5" s="8" t="n">
        <f aca="false">C5</f>
        <v>46300</v>
      </c>
      <c r="AF5" s="8" t="n">
        <f aca="false">D5</f>
        <v>9</v>
      </c>
      <c r="AG5" s="9" t="n">
        <f aca="false">E5*0.85</f>
        <v>69.377</v>
      </c>
      <c r="AH5" s="9" t="n">
        <f aca="false">F5*0.9</f>
        <v>1.8</v>
      </c>
      <c r="AI5" s="9" t="n">
        <f aca="false">G5</f>
        <v>0.38</v>
      </c>
      <c r="AJ5" s="9" t="n">
        <f aca="false">H5*1.2</f>
        <v>418.8</v>
      </c>
      <c r="AK5" s="8" t="n">
        <f aca="false">I5</f>
        <v>0</v>
      </c>
      <c r="AL5" s="8" t="n">
        <f aca="false">J5</f>
        <v>0</v>
      </c>
      <c r="AM5" s="9" t="n">
        <f aca="false">K5</f>
        <v>0.44</v>
      </c>
      <c r="AN5" s="6" t="n">
        <f aca="false">$R$2 + SUMPRODUCT(AD5:AM5,$S$2:$AB$2)</f>
        <v>-1.881381259</v>
      </c>
      <c r="AO5" s="6" t="n">
        <f aca="false">1/(1+EXP(-AN5))</f>
        <v>0.132230299831918</v>
      </c>
    </row>
    <row r="6" customFormat="false" ht="15" hidden="false" customHeight="false" outlineLevel="0" collapsed="false">
      <c r="A6" s="3" t="s">
        <v>44</v>
      </c>
      <c r="B6" s="4" t="n">
        <v>60</v>
      </c>
      <c r="C6" s="4" t="n">
        <v>77800</v>
      </c>
      <c r="D6" s="4" t="n">
        <v>5</v>
      </c>
      <c r="E6" s="5" t="n">
        <v>41.89</v>
      </c>
      <c r="F6" s="4" t="n">
        <v>2</v>
      </c>
      <c r="G6" s="5" t="n">
        <v>0.35</v>
      </c>
      <c r="H6" s="4" t="n">
        <v>330</v>
      </c>
      <c r="I6" s="4" t="n">
        <v>0</v>
      </c>
      <c r="J6" s="4" t="n">
        <v>0</v>
      </c>
      <c r="K6" s="5" t="n">
        <v>0.16</v>
      </c>
      <c r="L6" s="4" t="n">
        <v>0</v>
      </c>
      <c r="M6" s="6" t="n">
        <f aca="false">$R$2 + SUMPRODUCT(B6:K6,$S$2:$AB$2)</f>
        <v>-2.4391365</v>
      </c>
      <c r="N6" s="6" t="n">
        <f aca="false">1/(1+EXP(-M6))</f>
        <v>0.0802366142564755</v>
      </c>
      <c r="O6" s="6" t="n">
        <f aca="false">IF(L6=1,N6,1-N6)</f>
        <v>0.919763385743525</v>
      </c>
      <c r="P6" s="6" t="n">
        <f aca="false">LN(O6)</f>
        <v>-0.0836388314271315</v>
      </c>
      <c r="Q6" s="10" t="s">
        <v>45</v>
      </c>
      <c r="R6" s="12" t="n">
        <f aca="false">AVERAGE(N2:N501)</f>
        <v>0.446699922139714</v>
      </c>
      <c r="AD6" s="8" t="n">
        <f aca="false">B6</f>
        <v>60</v>
      </c>
      <c r="AE6" s="8" t="n">
        <f aca="false">C6</f>
        <v>77800</v>
      </c>
      <c r="AF6" s="8" t="n">
        <f aca="false">D6</f>
        <v>5</v>
      </c>
      <c r="AG6" s="9" t="n">
        <f aca="false">E6*0.85</f>
        <v>35.6065</v>
      </c>
      <c r="AH6" s="9" t="n">
        <f aca="false">F6*0.9</f>
        <v>1.8</v>
      </c>
      <c r="AI6" s="9" t="n">
        <f aca="false">G6</f>
        <v>0.35</v>
      </c>
      <c r="AJ6" s="9" t="n">
        <f aca="false">H6*1.2</f>
        <v>396</v>
      </c>
      <c r="AK6" s="8" t="n">
        <f aca="false">I6</f>
        <v>0</v>
      </c>
      <c r="AL6" s="8" t="n">
        <f aca="false">J6</f>
        <v>0</v>
      </c>
      <c r="AM6" s="9" t="n">
        <f aca="false">K6</f>
        <v>0.16</v>
      </c>
      <c r="AN6" s="6" t="n">
        <f aca="false">$R$2 + SUMPRODUCT(AD6:AM6,$S$2:$AB$2)</f>
        <v>-2.9267833555</v>
      </c>
      <c r="AO6" s="6" t="n">
        <f aca="false">1/(1+EXP(-AN6))</f>
        <v>0.0508453363886923</v>
      </c>
    </row>
    <row r="7" customFormat="false" ht="15" hidden="false" customHeight="false" outlineLevel="0" collapsed="false">
      <c r="A7" s="3" t="s">
        <v>46</v>
      </c>
      <c r="B7" s="4" t="n">
        <v>25</v>
      </c>
      <c r="C7" s="4" t="n">
        <v>42300</v>
      </c>
      <c r="D7" s="4" t="n">
        <v>9</v>
      </c>
      <c r="E7" s="5" t="n">
        <v>25.06</v>
      </c>
      <c r="F7" s="4" t="n">
        <v>3</v>
      </c>
      <c r="G7" s="5" t="n">
        <v>0.59</v>
      </c>
      <c r="H7" s="4" t="n">
        <v>246</v>
      </c>
      <c r="I7" s="4" t="n">
        <v>0</v>
      </c>
      <c r="J7" s="4" t="n">
        <v>0</v>
      </c>
      <c r="K7" s="5" t="n">
        <v>0.55</v>
      </c>
      <c r="L7" s="4" t="n">
        <v>0</v>
      </c>
      <c r="M7" s="6" t="n">
        <f aca="false">$R$2 + SUMPRODUCT(B7:K7,$S$2:$AB$2)</f>
        <v>-0.88154798</v>
      </c>
      <c r="N7" s="6" t="n">
        <f aca="false">1/(1+EXP(-M7))</f>
        <v>0.292857102149161</v>
      </c>
      <c r="O7" s="6" t="n">
        <f aca="false">IF(L7=1,N7,1-N7)</f>
        <v>0.707142897850839</v>
      </c>
      <c r="P7" s="6" t="n">
        <f aca="false">LN(O7)</f>
        <v>-0.346522514907872</v>
      </c>
      <c r="Q7" s="10" t="s">
        <v>47</v>
      </c>
      <c r="R7" s="13" t="n">
        <f aca="false">SUMPRODUCT(E2:E501,N2:N501)</f>
        <v>15193.3083913243</v>
      </c>
      <c r="AD7" s="8" t="n">
        <f aca="false">B7</f>
        <v>25</v>
      </c>
      <c r="AE7" s="8" t="n">
        <f aca="false">C7</f>
        <v>42300</v>
      </c>
      <c r="AF7" s="8" t="n">
        <f aca="false">D7</f>
        <v>9</v>
      </c>
      <c r="AG7" s="9" t="n">
        <f aca="false">E7*0.85</f>
        <v>21.301</v>
      </c>
      <c r="AH7" s="9" t="n">
        <f aca="false">F7*0.9</f>
        <v>2.7</v>
      </c>
      <c r="AI7" s="9" t="n">
        <f aca="false">G7</f>
        <v>0.59</v>
      </c>
      <c r="AJ7" s="9" t="n">
        <f aca="false">H7*1.2</f>
        <v>295.2</v>
      </c>
      <c r="AK7" s="8" t="n">
        <f aca="false">I7</f>
        <v>0</v>
      </c>
      <c r="AL7" s="8" t="n">
        <f aca="false">J7</f>
        <v>0</v>
      </c>
      <c r="AM7" s="9" t="n">
        <f aca="false">K7</f>
        <v>0.55</v>
      </c>
      <c r="AN7" s="6" t="n">
        <f aca="false">$R$2 + SUMPRODUCT(AD7:AM7,$S$2:$AB$2)</f>
        <v>-1.250155127</v>
      </c>
      <c r="AO7" s="6" t="n">
        <f aca="false">1/(1+EXP(-AN7))</f>
        <v>0.222673286754158</v>
      </c>
    </row>
    <row r="8" customFormat="false" ht="15" hidden="false" customHeight="false" outlineLevel="0" collapsed="false">
      <c r="A8" s="3" t="s">
        <v>48</v>
      </c>
      <c r="B8" s="4" t="n">
        <v>38</v>
      </c>
      <c r="C8" s="4" t="n">
        <v>63000</v>
      </c>
      <c r="D8" s="4" t="n">
        <v>6</v>
      </c>
      <c r="E8" s="5" t="n">
        <v>56.82</v>
      </c>
      <c r="F8" s="4" t="n">
        <v>5</v>
      </c>
      <c r="G8" s="5" t="n">
        <v>0.46</v>
      </c>
      <c r="H8" s="4" t="n">
        <v>272</v>
      </c>
      <c r="I8" s="4" t="n">
        <v>0</v>
      </c>
      <c r="J8" s="4" t="n">
        <v>1</v>
      </c>
      <c r="K8" s="5" t="n">
        <v>0.63</v>
      </c>
      <c r="L8" s="4" t="n">
        <v>0</v>
      </c>
      <c r="M8" s="6" t="n">
        <f aca="false">$R$2 + SUMPRODUCT(B8:K8,$S$2:$AB$2)</f>
        <v>-0.10734449</v>
      </c>
      <c r="N8" s="6" t="n">
        <f aca="false">1/(1+EXP(-M8))</f>
        <v>0.473189616869117</v>
      </c>
      <c r="O8" s="6" t="n">
        <f aca="false">IF(L8=1,N8,1-N8)</f>
        <v>0.526810383130883</v>
      </c>
      <c r="P8" s="6" t="n">
        <f aca="false">LN(O8)</f>
        <v>-0.640914599491599</v>
      </c>
      <c r="Q8" s="10" t="s">
        <v>49</v>
      </c>
      <c r="R8" s="8" t="n">
        <f aca="false">COUNTIF(N2:N501,"&gt;0.5")</f>
        <v>212</v>
      </c>
      <c r="AD8" s="8" t="n">
        <f aca="false">B8</f>
        <v>38</v>
      </c>
      <c r="AE8" s="8" t="n">
        <f aca="false">C8</f>
        <v>63000</v>
      </c>
      <c r="AF8" s="8" t="n">
        <f aca="false">D8</f>
        <v>6</v>
      </c>
      <c r="AG8" s="9" t="n">
        <f aca="false">E8*0.85</f>
        <v>48.297</v>
      </c>
      <c r="AH8" s="9" t="n">
        <f aca="false">F8*0.9</f>
        <v>4.5</v>
      </c>
      <c r="AI8" s="9" t="n">
        <f aca="false">G8</f>
        <v>0.46</v>
      </c>
      <c r="AJ8" s="9" t="n">
        <f aca="false">H8*1.2</f>
        <v>326.4</v>
      </c>
      <c r="AK8" s="8" t="n">
        <f aca="false">I8</f>
        <v>0</v>
      </c>
      <c r="AL8" s="8" t="n">
        <f aca="false">J8</f>
        <v>1</v>
      </c>
      <c r="AM8" s="9" t="n">
        <f aca="false">K8</f>
        <v>0.63</v>
      </c>
      <c r="AN8" s="6" t="n">
        <f aca="false">$R$2 + SUMPRODUCT(AD8:AM8,$S$2:$AB$2)</f>
        <v>-0.593100648999999</v>
      </c>
      <c r="AO8" s="6" t="n">
        <f aca="false">1/(1+EXP(-AN8))</f>
        <v>0.355923738125003</v>
      </c>
    </row>
    <row r="9" customFormat="false" ht="15" hidden="false" customHeight="false" outlineLevel="0" collapsed="false">
      <c r="A9" s="3" t="s">
        <v>50</v>
      </c>
      <c r="B9" s="4" t="n">
        <v>56</v>
      </c>
      <c r="C9" s="4" t="n">
        <v>68900</v>
      </c>
      <c r="D9" s="4" t="n">
        <v>8</v>
      </c>
      <c r="E9" s="5" t="n">
        <v>59.66</v>
      </c>
      <c r="F9" s="4" t="n">
        <v>1</v>
      </c>
      <c r="G9" s="5" t="n">
        <v>0.51</v>
      </c>
      <c r="H9" s="4" t="n">
        <v>157</v>
      </c>
      <c r="I9" s="4" t="n">
        <v>0</v>
      </c>
      <c r="J9" s="4" t="n">
        <v>1</v>
      </c>
      <c r="K9" s="5" t="n">
        <v>0.33</v>
      </c>
      <c r="L9" s="4" t="n">
        <v>1</v>
      </c>
      <c r="M9" s="6" t="n">
        <f aca="false">$R$2 + SUMPRODUCT(B9:K9,$S$2:$AB$2)</f>
        <v>0.175566880000001</v>
      </c>
      <c r="N9" s="6" t="n">
        <f aca="false">1/(1+EXP(-M9))</f>
        <v>0.543779324224811</v>
      </c>
      <c r="O9" s="6" t="n">
        <f aca="false">IF(L9=1,N9,1-N9)</f>
        <v>0.543779324224811</v>
      </c>
      <c r="P9" s="6" t="n">
        <f aca="false">LN(O9)</f>
        <v>-0.609211768424544</v>
      </c>
      <c r="Q9" s="10" t="s">
        <v>51</v>
      </c>
      <c r="R9" s="13" t="n">
        <f aca="false">R8*5</f>
        <v>1060</v>
      </c>
      <c r="AD9" s="8" t="n">
        <f aca="false">B9</f>
        <v>56</v>
      </c>
      <c r="AE9" s="8" t="n">
        <f aca="false">C9</f>
        <v>68900</v>
      </c>
      <c r="AF9" s="8" t="n">
        <f aca="false">D9</f>
        <v>8</v>
      </c>
      <c r="AG9" s="9" t="n">
        <f aca="false">E9*0.85</f>
        <v>50.711</v>
      </c>
      <c r="AH9" s="9" t="n">
        <f aca="false">F9*0.9</f>
        <v>0.9</v>
      </c>
      <c r="AI9" s="9" t="n">
        <f aca="false">G9</f>
        <v>0.51</v>
      </c>
      <c r="AJ9" s="9" t="n">
        <f aca="false">H9*1.2</f>
        <v>188.4</v>
      </c>
      <c r="AK9" s="8" t="n">
        <f aca="false">I9</f>
        <v>0</v>
      </c>
      <c r="AL9" s="8" t="n">
        <f aca="false">J9</f>
        <v>1</v>
      </c>
      <c r="AM9" s="9" t="n">
        <f aca="false">K9</f>
        <v>0.33</v>
      </c>
      <c r="AN9" s="6" t="n">
        <f aca="false">$R$2 + SUMPRODUCT(AD9:AM9,$S$2:$AB$2)</f>
        <v>-0.137052537</v>
      </c>
      <c r="AO9" s="6" t="n">
        <f aca="false">1/(1+EXP(-AN9))</f>
        <v>0.465790396709904</v>
      </c>
    </row>
    <row r="10" customFormat="false" ht="15" hidden="false" customHeight="false" outlineLevel="0" collapsed="false">
      <c r="A10" s="3" t="s">
        <v>52</v>
      </c>
      <c r="B10" s="4" t="n">
        <v>36</v>
      </c>
      <c r="C10" s="4" t="n">
        <v>38300</v>
      </c>
      <c r="D10" s="4" t="n">
        <v>6</v>
      </c>
      <c r="E10" s="5" t="n">
        <v>77.4</v>
      </c>
      <c r="F10" s="4" t="n">
        <v>4</v>
      </c>
      <c r="G10" s="5" t="n">
        <v>0.59</v>
      </c>
      <c r="H10" s="4" t="n">
        <v>116</v>
      </c>
      <c r="I10" s="4" t="n">
        <v>0</v>
      </c>
      <c r="J10" s="4" t="n">
        <v>1</v>
      </c>
      <c r="K10" s="5" t="n">
        <v>0.51</v>
      </c>
      <c r="L10" s="4" t="n">
        <v>1</v>
      </c>
      <c r="M10" s="6" t="n">
        <f aca="false">$R$2 + SUMPRODUCT(B10:K10,$S$2:$AB$2)</f>
        <v>0.48418892</v>
      </c>
      <c r="N10" s="6" t="n">
        <f aca="false">1/(1+EXP(-M10))</f>
        <v>0.618736538137678</v>
      </c>
      <c r="O10" s="6" t="n">
        <f aca="false">IF(L10=1,N10,1-N10)</f>
        <v>0.618736538137678</v>
      </c>
      <c r="P10" s="6" t="n">
        <f aca="false">LN(O10)</f>
        <v>-0.480075721881081</v>
      </c>
      <c r="Q10" s="10" t="s">
        <v>53</v>
      </c>
      <c r="R10" s="9" t="n">
        <f aca="false">SUMPRODUCT((N2:N501&gt;0.5)*N2:N501)</f>
        <v>140.999502504544</v>
      </c>
      <c r="AD10" s="8" t="n">
        <f aca="false">B10</f>
        <v>36</v>
      </c>
      <c r="AE10" s="8" t="n">
        <f aca="false">C10</f>
        <v>38300</v>
      </c>
      <c r="AF10" s="8" t="n">
        <f aca="false">D10</f>
        <v>6</v>
      </c>
      <c r="AG10" s="9" t="n">
        <f aca="false">E10*0.85</f>
        <v>65.79</v>
      </c>
      <c r="AH10" s="9" t="n">
        <f aca="false">F10*0.9</f>
        <v>3.6</v>
      </c>
      <c r="AI10" s="9" t="n">
        <f aca="false">G10</f>
        <v>0.59</v>
      </c>
      <c r="AJ10" s="9" t="n">
        <f aca="false">H10*1.2</f>
        <v>139.2</v>
      </c>
      <c r="AK10" s="8" t="n">
        <f aca="false">I10</f>
        <v>0</v>
      </c>
      <c r="AL10" s="8" t="n">
        <f aca="false">J10</f>
        <v>1</v>
      </c>
      <c r="AM10" s="9" t="n">
        <f aca="false">K10</f>
        <v>0.51</v>
      </c>
      <c r="AN10" s="6" t="n">
        <f aca="false">$R$2 + SUMPRODUCT(AD10:AM10,$S$2:$AB$2)</f>
        <v>0.14822099</v>
      </c>
      <c r="AO10" s="6" t="n">
        <f aca="false">1/(1+EXP(-AN10))</f>
        <v>0.536987555890329</v>
      </c>
    </row>
    <row r="11" customFormat="false" ht="15" hidden="false" customHeight="false" outlineLevel="0" collapsed="false">
      <c r="A11" s="3" t="s">
        <v>54</v>
      </c>
      <c r="B11" s="4" t="n">
        <v>40</v>
      </c>
      <c r="C11" s="4" t="n">
        <v>53900</v>
      </c>
      <c r="D11" s="4" t="n">
        <v>3</v>
      </c>
      <c r="E11" s="5" t="n">
        <v>51.62</v>
      </c>
      <c r="F11" s="4" t="n">
        <v>2</v>
      </c>
      <c r="G11" s="5" t="n">
        <v>0.79</v>
      </c>
      <c r="H11" s="4" t="n">
        <v>18</v>
      </c>
      <c r="I11" s="4" t="n">
        <v>1</v>
      </c>
      <c r="J11" s="4" t="n">
        <v>0</v>
      </c>
      <c r="K11" s="5" t="n">
        <v>0.37</v>
      </c>
      <c r="L11" s="4" t="n">
        <v>1</v>
      </c>
      <c r="M11" s="6" t="n">
        <f aca="false">$R$2 + SUMPRODUCT(B11:K11,$S$2:$AB$2)</f>
        <v>0.48206576</v>
      </c>
      <c r="N11" s="6" t="n">
        <f aca="false">1/(1+EXP(-M11))</f>
        <v>0.618235555115393</v>
      </c>
      <c r="O11" s="6" t="n">
        <f aca="false">IF(L11=1,N11,1-N11)</f>
        <v>0.618235555115393</v>
      </c>
      <c r="P11" s="6" t="n">
        <f aca="false">LN(O11)</f>
        <v>-0.480885737001728</v>
      </c>
      <c r="Q11" s="10" t="s">
        <v>55</v>
      </c>
      <c r="R11" s="14" t="n">
        <f aca="false">R9/R10</f>
        <v>7.51775702163088</v>
      </c>
      <c r="AD11" s="8" t="n">
        <f aca="false">B11</f>
        <v>40</v>
      </c>
      <c r="AE11" s="8" t="n">
        <f aca="false">C11</f>
        <v>53900</v>
      </c>
      <c r="AF11" s="8" t="n">
        <f aca="false">D11</f>
        <v>3</v>
      </c>
      <c r="AG11" s="9" t="n">
        <f aca="false">E11*0.85</f>
        <v>43.877</v>
      </c>
      <c r="AH11" s="9" t="n">
        <f aca="false">F11*0.9</f>
        <v>1.8</v>
      </c>
      <c r="AI11" s="9" t="n">
        <f aca="false">G11</f>
        <v>0.79</v>
      </c>
      <c r="AJ11" s="9" t="n">
        <f aca="false">H11*1.2</f>
        <v>21.6</v>
      </c>
      <c r="AK11" s="8" t="n">
        <f aca="false">I11</f>
        <v>1</v>
      </c>
      <c r="AL11" s="8" t="n">
        <f aca="false">J11</f>
        <v>0</v>
      </c>
      <c r="AM11" s="9" t="n">
        <f aca="false">K11</f>
        <v>0.37</v>
      </c>
      <c r="AN11" s="6" t="n">
        <f aca="false">$R$2 + SUMPRODUCT(AD11:AM11,$S$2:$AB$2)</f>
        <v>0.334112641</v>
      </c>
      <c r="AO11" s="6" t="n">
        <f aca="false">1/(1+EXP(-AN11))</f>
        <v>0.582759707981225</v>
      </c>
    </row>
    <row r="12" customFormat="false" ht="15" hidden="false" customHeight="false" outlineLevel="0" collapsed="false">
      <c r="A12" s="3" t="s">
        <v>56</v>
      </c>
      <c r="B12" s="4" t="n">
        <v>28</v>
      </c>
      <c r="C12" s="4" t="n">
        <v>15000</v>
      </c>
      <c r="D12" s="4" t="n">
        <v>5</v>
      </c>
      <c r="E12" s="5" t="n">
        <v>77.79</v>
      </c>
      <c r="F12" s="4" t="n">
        <v>1</v>
      </c>
      <c r="G12" s="5" t="n">
        <v>0.17</v>
      </c>
      <c r="H12" s="4" t="n">
        <v>172</v>
      </c>
      <c r="I12" s="4" t="n">
        <v>0</v>
      </c>
      <c r="J12" s="4" t="n">
        <v>1</v>
      </c>
      <c r="K12" s="5" t="n">
        <v>0.18</v>
      </c>
      <c r="L12" s="4" t="n">
        <v>0</v>
      </c>
      <c r="M12" s="6" t="n">
        <f aca="false">$R$2 + SUMPRODUCT(B12:K12,$S$2:$AB$2)</f>
        <v>-1.88356692</v>
      </c>
      <c r="N12" s="6" t="n">
        <f aca="false">1/(1+EXP(-M12))</f>
        <v>0.13197970671358</v>
      </c>
      <c r="O12" s="6" t="n">
        <f aca="false">IF(L12=1,N12,1-N12)</f>
        <v>0.86802029328642</v>
      </c>
      <c r="P12" s="6" t="n">
        <f aca="false">LN(O12)</f>
        <v>-0.141540185232845</v>
      </c>
      <c r="AD12" s="8" t="n">
        <f aca="false">B12</f>
        <v>28</v>
      </c>
      <c r="AE12" s="8" t="n">
        <f aca="false">C12</f>
        <v>15000</v>
      </c>
      <c r="AF12" s="8" t="n">
        <f aca="false">D12</f>
        <v>5</v>
      </c>
      <c r="AG12" s="9" t="n">
        <f aca="false">E12*0.85</f>
        <v>66.1215</v>
      </c>
      <c r="AH12" s="9" t="n">
        <f aca="false">F12*0.9</f>
        <v>0.9</v>
      </c>
      <c r="AI12" s="9" t="n">
        <f aca="false">G12</f>
        <v>0.17</v>
      </c>
      <c r="AJ12" s="9" t="n">
        <f aca="false">H12*1.2</f>
        <v>206.4</v>
      </c>
      <c r="AK12" s="8" t="n">
        <f aca="false">I12</f>
        <v>0</v>
      </c>
      <c r="AL12" s="8" t="n">
        <f aca="false">J12</f>
        <v>1</v>
      </c>
      <c r="AM12" s="9" t="n">
        <f aca="false">K12</f>
        <v>0.18</v>
      </c>
      <c r="AN12" s="6" t="n">
        <f aca="false">$R$2 + SUMPRODUCT(AD12:AM12,$S$2:$AB$2)</f>
        <v>-2.2499913805</v>
      </c>
      <c r="AO12" s="6" t="n">
        <f aca="false">1/(1+EXP(-AN12))</f>
        <v>0.0953502084020549</v>
      </c>
    </row>
    <row r="13" customFormat="false" ht="15" hidden="false" customHeight="false" outlineLevel="0" collapsed="false">
      <c r="A13" s="3" t="s">
        <v>57</v>
      </c>
      <c r="B13" s="4" t="n">
        <v>28</v>
      </c>
      <c r="C13" s="4" t="n">
        <v>36600</v>
      </c>
      <c r="D13" s="4" t="n">
        <v>4</v>
      </c>
      <c r="E13" s="5" t="n">
        <v>113.38</v>
      </c>
      <c r="F13" s="4" t="n">
        <v>2</v>
      </c>
      <c r="G13" s="5" t="n">
        <v>0.38</v>
      </c>
      <c r="H13" s="4" t="n">
        <v>16</v>
      </c>
      <c r="I13" s="4" t="n">
        <v>0</v>
      </c>
      <c r="J13" s="4" t="n">
        <v>1</v>
      </c>
      <c r="K13" s="5" t="n">
        <v>0.27</v>
      </c>
      <c r="L13" s="4" t="n">
        <v>1</v>
      </c>
      <c r="M13" s="6" t="n">
        <f aca="false">$R$2 + SUMPRODUCT(B13:K13,$S$2:$AB$2)</f>
        <v>0.36599143</v>
      </c>
      <c r="N13" s="6" t="n">
        <f aca="false">1/(1+EXP(-M13))</f>
        <v>0.590490012653122</v>
      </c>
      <c r="O13" s="6" t="n">
        <f aca="false">IF(L13=1,N13,1-N13)</f>
        <v>0.590490012653122</v>
      </c>
      <c r="P13" s="6" t="n">
        <f aca="false">LN(O13)</f>
        <v>-0.526802556860958</v>
      </c>
      <c r="Q13" s="10" t="s">
        <v>58</v>
      </c>
      <c r="R13" s="12" t="n">
        <f aca="false">AVERAGE(AO2:AO501)</f>
        <v>0.375241111316221</v>
      </c>
      <c r="AD13" s="8" t="n">
        <f aca="false">B13</f>
        <v>28</v>
      </c>
      <c r="AE13" s="8" t="n">
        <f aca="false">C13</f>
        <v>36600</v>
      </c>
      <c r="AF13" s="8" t="n">
        <f aca="false">D13</f>
        <v>4</v>
      </c>
      <c r="AG13" s="9" t="n">
        <f aca="false">E13*0.85</f>
        <v>96.373</v>
      </c>
      <c r="AH13" s="9" t="n">
        <f aca="false">F13*0.9</f>
        <v>1.8</v>
      </c>
      <c r="AI13" s="9" t="n">
        <f aca="false">G13</f>
        <v>0.38</v>
      </c>
      <c r="AJ13" s="9" t="n">
        <f aca="false">H13*1.2</f>
        <v>19.2</v>
      </c>
      <c r="AK13" s="8" t="n">
        <f aca="false">I13</f>
        <v>0</v>
      </c>
      <c r="AL13" s="8" t="n">
        <f aca="false">J13</f>
        <v>1</v>
      </c>
      <c r="AM13" s="9" t="n">
        <f aca="false">K13</f>
        <v>0.27</v>
      </c>
      <c r="AN13" s="6" t="n">
        <f aca="false">$R$2 + SUMPRODUCT(AD13:AM13,$S$2:$AB$2)</f>
        <v>0.0958981990000005</v>
      </c>
      <c r="AO13" s="6" t="n">
        <f aca="false">1/(1+EXP(-AN13))</f>
        <v>0.523956193206563</v>
      </c>
    </row>
    <row r="14" customFormat="false" ht="15" hidden="false" customHeight="false" outlineLevel="0" collapsed="false">
      <c r="A14" s="3" t="s">
        <v>59</v>
      </c>
      <c r="B14" s="4" t="n">
        <v>41</v>
      </c>
      <c r="C14" s="4" t="n">
        <v>50500</v>
      </c>
      <c r="D14" s="4" t="n">
        <v>7</v>
      </c>
      <c r="E14" s="5" t="n">
        <v>85.39</v>
      </c>
      <c r="F14" s="4" t="n">
        <v>4</v>
      </c>
      <c r="G14" s="5" t="n">
        <v>0.2</v>
      </c>
      <c r="H14" s="4" t="n">
        <v>240</v>
      </c>
      <c r="I14" s="4" t="n">
        <v>0</v>
      </c>
      <c r="J14" s="4" t="n">
        <v>1</v>
      </c>
      <c r="K14" s="5" t="n">
        <v>0.06</v>
      </c>
      <c r="L14" s="4" t="n">
        <v>1</v>
      </c>
      <c r="M14" s="6" t="n">
        <f aca="false">$R$2 + SUMPRODUCT(B14:K14,$S$2:$AB$2)</f>
        <v>-0.86742795</v>
      </c>
      <c r="N14" s="6" t="n">
        <f aca="false">1/(1+EXP(-M14))</f>
        <v>0.295789773798996</v>
      </c>
      <c r="O14" s="6" t="n">
        <f aca="false">IF(L14=1,N14,1-N14)</f>
        <v>0.295789773798996</v>
      </c>
      <c r="P14" s="6" t="n">
        <f aca="false">LN(O14)</f>
        <v>-1.21810630063842</v>
      </c>
      <c r="Q14" s="10" t="s">
        <v>60</v>
      </c>
      <c r="R14" s="13" t="n">
        <f aca="false">SUMPRODUCT(AG2:AG501,AO2:AO501)</f>
        <v>10827.0998223981</v>
      </c>
      <c r="AD14" s="8" t="n">
        <f aca="false">B14</f>
        <v>41</v>
      </c>
      <c r="AE14" s="8" t="n">
        <f aca="false">C14</f>
        <v>50500</v>
      </c>
      <c r="AF14" s="8" t="n">
        <f aca="false">D14</f>
        <v>7</v>
      </c>
      <c r="AG14" s="9" t="n">
        <f aca="false">E14*0.85</f>
        <v>72.5815</v>
      </c>
      <c r="AH14" s="9" t="n">
        <f aca="false">F14*0.9</f>
        <v>3.6</v>
      </c>
      <c r="AI14" s="9" t="n">
        <f aca="false">G14</f>
        <v>0.2</v>
      </c>
      <c r="AJ14" s="9" t="n">
        <f aca="false">H14*1.2</f>
        <v>288</v>
      </c>
      <c r="AK14" s="8" t="n">
        <f aca="false">I14</f>
        <v>0</v>
      </c>
      <c r="AL14" s="8" t="n">
        <f aca="false">J14</f>
        <v>1</v>
      </c>
      <c r="AM14" s="9" t="n">
        <f aca="false">K14</f>
        <v>0.06</v>
      </c>
      <c r="AN14" s="6" t="n">
        <f aca="false">$R$2 + SUMPRODUCT(AD14:AM14,$S$2:$AB$2)</f>
        <v>-1.3622937305</v>
      </c>
      <c r="AO14" s="6" t="n">
        <f aca="false">1/(1+EXP(-AN14))</f>
        <v>0.203867763870134</v>
      </c>
    </row>
    <row r="15" customFormat="false" ht="15" hidden="false" customHeight="false" outlineLevel="0" collapsed="false">
      <c r="A15" s="3" t="s">
        <v>61</v>
      </c>
      <c r="B15" s="4" t="n">
        <v>53</v>
      </c>
      <c r="C15" s="4" t="n">
        <v>32500</v>
      </c>
      <c r="D15" s="4" t="n">
        <v>10</v>
      </c>
      <c r="E15" s="5" t="n">
        <v>63.8</v>
      </c>
      <c r="F15" s="4" t="n">
        <v>4</v>
      </c>
      <c r="G15" s="5" t="n">
        <v>0.42</v>
      </c>
      <c r="H15" s="4" t="n">
        <v>56</v>
      </c>
      <c r="I15" s="4" t="n">
        <v>0</v>
      </c>
      <c r="J15" s="4" t="n">
        <v>0</v>
      </c>
      <c r="K15" s="5" t="n">
        <v>0.23</v>
      </c>
      <c r="L15" s="4" t="n">
        <v>0</v>
      </c>
      <c r="M15" s="6" t="n">
        <f aca="false">$R$2 + SUMPRODUCT(B15:K15,$S$2:$AB$2)</f>
        <v>-0.155762189999999</v>
      </c>
      <c r="N15" s="6" t="n">
        <f aca="false">1/(1+EXP(-M15))</f>
        <v>0.461137992794249</v>
      </c>
      <c r="O15" s="6" t="n">
        <f aca="false">IF(L15=1,N15,1-N15)</f>
        <v>0.538862007205751</v>
      </c>
      <c r="P15" s="6" t="n">
        <f aca="false">LN(O15)</f>
        <v>-0.618295757166772</v>
      </c>
      <c r="Q15" s="10" t="s">
        <v>62</v>
      </c>
      <c r="R15" s="8" t="n">
        <f aca="false">COUNTIF(AO2:AO501,"&gt;0.5")</f>
        <v>145</v>
      </c>
      <c r="AD15" s="8" t="n">
        <f aca="false">B15</f>
        <v>53</v>
      </c>
      <c r="AE15" s="8" t="n">
        <f aca="false">C15</f>
        <v>32500</v>
      </c>
      <c r="AF15" s="8" t="n">
        <f aca="false">D15</f>
        <v>10</v>
      </c>
      <c r="AG15" s="9" t="n">
        <f aca="false">E15*0.85</f>
        <v>54.23</v>
      </c>
      <c r="AH15" s="9" t="n">
        <f aca="false">F15*0.9</f>
        <v>3.6</v>
      </c>
      <c r="AI15" s="9" t="n">
        <f aca="false">G15</f>
        <v>0.42</v>
      </c>
      <c r="AJ15" s="9" t="n">
        <f aca="false">H15*1.2</f>
        <v>67.2</v>
      </c>
      <c r="AK15" s="8" t="n">
        <f aca="false">I15</f>
        <v>0</v>
      </c>
      <c r="AL15" s="8" t="n">
        <f aca="false">J15</f>
        <v>0</v>
      </c>
      <c r="AM15" s="9" t="n">
        <f aca="false">K15</f>
        <v>0.23</v>
      </c>
      <c r="AN15" s="6" t="n">
        <f aca="false">$R$2 + SUMPRODUCT(AD15:AM15,$S$2:$AB$2)</f>
        <v>-0.3952308</v>
      </c>
      <c r="AO15" s="6" t="n">
        <f aca="false">1/(1+EXP(-AN15))</f>
        <v>0.402458728824008</v>
      </c>
    </row>
    <row r="16" customFormat="false" ht="15" hidden="false" customHeight="false" outlineLevel="0" collapsed="false">
      <c r="A16" s="3" t="s">
        <v>63</v>
      </c>
      <c r="B16" s="4" t="n">
        <v>57</v>
      </c>
      <c r="C16" s="4" t="n">
        <v>84400</v>
      </c>
      <c r="D16" s="4" t="n">
        <v>4</v>
      </c>
      <c r="E16" s="5" t="n">
        <v>60.42</v>
      </c>
      <c r="F16" s="4" t="n">
        <v>2</v>
      </c>
      <c r="G16" s="5" t="n">
        <v>0.64</v>
      </c>
      <c r="H16" s="4" t="n">
        <v>79</v>
      </c>
      <c r="I16" s="4" t="n">
        <v>0</v>
      </c>
      <c r="J16" s="4" t="n">
        <v>1</v>
      </c>
      <c r="K16" s="5" t="n">
        <v>0.86</v>
      </c>
      <c r="L16" s="4" t="n">
        <v>1</v>
      </c>
      <c r="M16" s="6" t="n">
        <f aca="false">$R$2 + SUMPRODUCT(B16:K16,$S$2:$AB$2)</f>
        <v>1.15859268</v>
      </c>
      <c r="N16" s="6" t="n">
        <f aca="false">1/(1+EXP(-M16))</f>
        <v>0.761076903423959</v>
      </c>
      <c r="O16" s="6" t="n">
        <f aca="false">IF(L16=1,N16,1-N16)</f>
        <v>0.761076903423959</v>
      </c>
      <c r="P16" s="6" t="n">
        <f aca="false">LN(O16)</f>
        <v>-0.273020870478593</v>
      </c>
      <c r="Q16" s="10" t="s">
        <v>64</v>
      </c>
      <c r="R16" s="13" t="n">
        <f aca="false">R15*5</f>
        <v>725</v>
      </c>
      <c r="AD16" s="8" t="n">
        <f aca="false">B16</f>
        <v>57</v>
      </c>
      <c r="AE16" s="8" t="n">
        <f aca="false">C16</f>
        <v>84400</v>
      </c>
      <c r="AF16" s="8" t="n">
        <f aca="false">D16</f>
        <v>4</v>
      </c>
      <c r="AG16" s="9" t="n">
        <f aca="false">E16*0.85</f>
        <v>51.357</v>
      </c>
      <c r="AH16" s="9" t="n">
        <f aca="false">F16*0.9</f>
        <v>1.8</v>
      </c>
      <c r="AI16" s="9" t="n">
        <f aca="false">G16</f>
        <v>0.64</v>
      </c>
      <c r="AJ16" s="9" t="n">
        <f aca="false">H16*1.2</f>
        <v>94.8</v>
      </c>
      <c r="AK16" s="8" t="n">
        <f aca="false">I16</f>
        <v>0</v>
      </c>
      <c r="AL16" s="8" t="n">
        <f aca="false">J16</f>
        <v>1</v>
      </c>
      <c r="AM16" s="9" t="n">
        <f aca="false">K16</f>
        <v>0.86</v>
      </c>
      <c r="AN16" s="6" t="n">
        <f aca="false">$R$2 + SUMPRODUCT(AD16:AM16,$S$2:$AB$2)</f>
        <v>0.922660401</v>
      </c>
      <c r="AO16" s="6" t="n">
        <f aca="false">1/(1+EXP(-AN16))</f>
        <v>0.715583870480075</v>
      </c>
    </row>
    <row r="17" customFormat="false" ht="15" hidden="false" customHeight="false" outlineLevel="0" collapsed="false">
      <c r="A17" s="3" t="s">
        <v>65</v>
      </c>
      <c r="B17" s="4" t="n">
        <v>41</v>
      </c>
      <c r="C17" s="4" t="n">
        <v>29300</v>
      </c>
      <c r="D17" s="4" t="n">
        <v>1</v>
      </c>
      <c r="E17" s="5" t="n">
        <v>56.08</v>
      </c>
      <c r="F17" s="4" t="n">
        <v>9</v>
      </c>
      <c r="G17" s="5" t="n">
        <v>0.39</v>
      </c>
      <c r="H17" s="4" t="n">
        <v>103</v>
      </c>
      <c r="I17" s="4" t="n">
        <v>0</v>
      </c>
      <c r="J17" s="4" t="n">
        <v>0</v>
      </c>
      <c r="K17" s="5" t="n">
        <v>0.68</v>
      </c>
      <c r="L17" s="4" t="n">
        <v>0</v>
      </c>
      <c r="M17" s="6" t="n">
        <f aca="false">$R$2 + SUMPRODUCT(B17:K17,$S$2:$AB$2)</f>
        <v>-1.12279423</v>
      </c>
      <c r="N17" s="6" t="n">
        <f aca="false">1/(1+EXP(-M17))</f>
        <v>0.245493350493017</v>
      </c>
      <c r="O17" s="6" t="n">
        <f aca="false">IF(L17=1,N17,1-N17)</f>
        <v>0.754506649506983</v>
      </c>
      <c r="P17" s="6" t="n">
        <f aca="false">LN(O17)</f>
        <v>-0.281691187682542</v>
      </c>
      <c r="Q17" s="10" t="s">
        <v>66</v>
      </c>
      <c r="R17" s="9" t="n">
        <f aca="false">SUMPRODUCT((AO2:AO501&gt;0.5)*AO2:AO501)</f>
        <v>96.1737512324229</v>
      </c>
      <c r="AD17" s="8" t="n">
        <f aca="false">B17</f>
        <v>41</v>
      </c>
      <c r="AE17" s="8" t="n">
        <f aca="false">C17</f>
        <v>29300</v>
      </c>
      <c r="AF17" s="8" t="n">
        <f aca="false">D17</f>
        <v>1</v>
      </c>
      <c r="AG17" s="9" t="n">
        <f aca="false">E17*0.85</f>
        <v>47.668</v>
      </c>
      <c r="AH17" s="9" t="n">
        <f aca="false">F17*0.9</f>
        <v>8.1</v>
      </c>
      <c r="AI17" s="9" t="n">
        <f aca="false">G17</f>
        <v>0.39</v>
      </c>
      <c r="AJ17" s="9" t="n">
        <f aca="false">H17*1.2</f>
        <v>123.6</v>
      </c>
      <c r="AK17" s="8" t="n">
        <f aca="false">I17</f>
        <v>0</v>
      </c>
      <c r="AL17" s="8" t="n">
        <f aca="false">J17</f>
        <v>0</v>
      </c>
      <c r="AM17" s="9" t="n">
        <f aca="false">K17</f>
        <v>0.68</v>
      </c>
      <c r="AN17" s="6" t="n">
        <f aca="false">$R$2 + SUMPRODUCT(AD17:AM17,$S$2:$AB$2)</f>
        <v>-1.458864126</v>
      </c>
      <c r="AO17" s="6" t="n">
        <f aca="false">1/(1+EXP(-AN17))</f>
        <v>0.1886411156595</v>
      </c>
    </row>
    <row r="18" customFormat="false" ht="15" hidden="false" customHeight="false" outlineLevel="0" collapsed="false">
      <c r="A18" s="3" t="s">
        <v>67</v>
      </c>
      <c r="B18" s="4" t="n">
        <v>20</v>
      </c>
      <c r="C18" s="4" t="n">
        <v>47100</v>
      </c>
      <c r="D18" s="4" t="n">
        <v>7</v>
      </c>
      <c r="E18" s="5" t="n">
        <v>94.52</v>
      </c>
      <c r="F18" s="4" t="n">
        <v>4</v>
      </c>
      <c r="G18" s="5" t="n">
        <v>0.58</v>
      </c>
      <c r="H18" s="4" t="n">
        <v>284</v>
      </c>
      <c r="I18" s="4" t="n">
        <v>0</v>
      </c>
      <c r="J18" s="4" t="n">
        <v>1</v>
      </c>
      <c r="K18" s="5" t="n">
        <v>0.31</v>
      </c>
      <c r="L18" s="4" t="n">
        <v>0</v>
      </c>
      <c r="M18" s="6" t="n">
        <f aca="false">$R$2 + SUMPRODUCT(B18:K18,$S$2:$AB$2)</f>
        <v>0.0782815699999997</v>
      </c>
      <c r="N18" s="6" t="n">
        <f aca="false">1/(1+EXP(-M18))</f>
        <v>0.519560404666548</v>
      </c>
      <c r="O18" s="6" t="n">
        <f aca="false">IF(L18=1,N18,1-N18)</f>
        <v>0.480439595333452</v>
      </c>
      <c r="P18" s="6" t="n">
        <f aca="false">LN(O18)</f>
        <v>-0.733053770579418</v>
      </c>
      <c r="Q18" s="10" t="s">
        <v>68</v>
      </c>
      <c r="R18" s="14" t="n">
        <f aca="false">R16/R17</f>
        <v>7.53843944641292</v>
      </c>
      <c r="AD18" s="8" t="n">
        <f aca="false">B18</f>
        <v>20</v>
      </c>
      <c r="AE18" s="8" t="n">
        <f aca="false">C18</f>
        <v>47100</v>
      </c>
      <c r="AF18" s="8" t="n">
        <f aca="false">D18</f>
        <v>7</v>
      </c>
      <c r="AG18" s="9" t="n">
        <f aca="false">E18*0.85</f>
        <v>80.342</v>
      </c>
      <c r="AH18" s="9" t="n">
        <f aca="false">F18*0.9</f>
        <v>3.6</v>
      </c>
      <c r="AI18" s="9" t="n">
        <f aca="false">G18</f>
        <v>0.58</v>
      </c>
      <c r="AJ18" s="9" t="n">
        <f aca="false">H18*1.2</f>
        <v>340.8</v>
      </c>
      <c r="AK18" s="8" t="n">
        <f aca="false">I18</f>
        <v>0</v>
      </c>
      <c r="AL18" s="8" t="n">
        <f aca="false">J18</f>
        <v>1</v>
      </c>
      <c r="AM18" s="9" t="n">
        <f aca="false">K18</f>
        <v>0.31</v>
      </c>
      <c r="AN18" s="6" t="n">
        <f aca="false">$R$2 + SUMPRODUCT(AD18:AM18,$S$2:$AB$2)</f>
        <v>-0.485651104</v>
      </c>
      <c r="AO18" s="6" t="n">
        <f aca="false">1/(1+EXP(-AN18))</f>
        <v>0.380918590202988</v>
      </c>
    </row>
    <row r="19" customFormat="false" ht="15" hidden="false" customHeight="false" outlineLevel="0" collapsed="false">
      <c r="A19" s="3" t="s">
        <v>69</v>
      </c>
      <c r="B19" s="4" t="n">
        <v>39</v>
      </c>
      <c r="C19" s="4" t="n">
        <v>57400</v>
      </c>
      <c r="D19" s="4" t="n">
        <v>9</v>
      </c>
      <c r="E19" s="5" t="n">
        <v>49.32</v>
      </c>
      <c r="F19" s="4" t="n">
        <v>5</v>
      </c>
      <c r="G19" s="5" t="n">
        <v>0.22</v>
      </c>
      <c r="H19" s="4" t="n">
        <v>193</v>
      </c>
      <c r="I19" s="4" t="n">
        <v>0</v>
      </c>
      <c r="J19" s="4" t="n">
        <v>1</v>
      </c>
      <c r="K19" s="5" t="n">
        <v>0.47</v>
      </c>
      <c r="L19" s="4" t="n">
        <v>1</v>
      </c>
      <c r="M19" s="6" t="n">
        <f aca="false">$R$2 + SUMPRODUCT(B19:K19,$S$2:$AB$2)</f>
        <v>0.0947916900000001</v>
      </c>
      <c r="N19" s="6" t="n">
        <f aca="false">1/(1+EXP(-M19))</f>
        <v>0.523680193693221</v>
      </c>
      <c r="O19" s="6" t="n">
        <f aca="false">IF(L19=1,N19,1-N19)</f>
        <v>0.523680193693221</v>
      </c>
      <c r="P19" s="6" t="n">
        <f aca="false">LN(O19)</f>
        <v>-0.64687409835991</v>
      </c>
      <c r="AD19" s="8" t="n">
        <f aca="false">B19</f>
        <v>39</v>
      </c>
      <c r="AE19" s="8" t="n">
        <f aca="false">C19</f>
        <v>57400</v>
      </c>
      <c r="AF19" s="8" t="n">
        <f aca="false">D19</f>
        <v>9</v>
      </c>
      <c r="AG19" s="9" t="n">
        <f aca="false">E19*0.85</f>
        <v>41.922</v>
      </c>
      <c r="AH19" s="9" t="n">
        <f aca="false">F19*0.9</f>
        <v>4.5</v>
      </c>
      <c r="AI19" s="9" t="n">
        <f aca="false">G19</f>
        <v>0.22</v>
      </c>
      <c r="AJ19" s="9" t="n">
        <f aca="false">H19*1.2</f>
        <v>231.6</v>
      </c>
      <c r="AK19" s="8" t="n">
        <f aca="false">I19</f>
        <v>0</v>
      </c>
      <c r="AL19" s="8" t="n">
        <f aca="false">J19</f>
        <v>1</v>
      </c>
      <c r="AM19" s="9" t="n">
        <f aca="false">K19</f>
        <v>0.47</v>
      </c>
      <c r="AN19" s="6" t="n">
        <f aca="false">$R$2 + SUMPRODUCT(AD19:AM19,$S$2:$AB$2)</f>
        <v>-0.284875944</v>
      </c>
      <c r="AO19" s="6" t="n">
        <f aca="false">1/(1+EXP(-AN19))</f>
        <v>0.429258781022815</v>
      </c>
    </row>
    <row r="20" customFormat="false" ht="15" hidden="false" customHeight="false" outlineLevel="0" collapsed="false">
      <c r="A20" s="3" t="s">
        <v>70</v>
      </c>
      <c r="B20" s="4" t="n">
        <v>19</v>
      </c>
      <c r="C20" s="4" t="n">
        <v>80900</v>
      </c>
      <c r="D20" s="4" t="n">
        <v>5</v>
      </c>
      <c r="E20" s="5" t="n">
        <v>66.13</v>
      </c>
      <c r="F20" s="4" t="n">
        <v>4</v>
      </c>
      <c r="G20" s="5" t="n">
        <v>0.37</v>
      </c>
      <c r="H20" s="4" t="n">
        <v>5</v>
      </c>
      <c r="I20" s="4" t="n">
        <v>1</v>
      </c>
      <c r="J20" s="4" t="n">
        <v>1</v>
      </c>
      <c r="K20" s="5" t="n">
        <v>0.52</v>
      </c>
      <c r="L20" s="4" t="n">
        <v>1</v>
      </c>
      <c r="M20" s="6" t="n">
        <f aca="false">$R$2 + SUMPRODUCT(B20:K20,$S$2:$AB$2)</f>
        <v>2.33195872</v>
      </c>
      <c r="N20" s="6" t="n">
        <f aca="false">1/(1+EXP(-M20))</f>
        <v>0.911489486645237</v>
      </c>
      <c r="O20" s="6" t="n">
        <f aca="false">IF(L20=1,N20,1-N20)</f>
        <v>0.911489486645237</v>
      </c>
      <c r="P20" s="6" t="n">
        <f aca="false">LN(O20)</f>
        <v>-0.0926752190547462</v>
      </c>
      <c r="Q20" s="15" t="s">
        <v>71</v>
      </c>
      <c r="R20" s="15"/>
      <c r="S20" s="15"/>
      <c r="T20" s="15"/>
      <c r="U20" s="15"/>
      <c r="AD20" s="8" t="n">
        <f aca="false">B20</f>
        <v>19</v>
      </c>
      <c r="AE20" s="8" t="n">
        <f aca="false">C20</f>
        <v>80900</v>
      </c>
      <c r="AF20" s="8" t="n">
        <f aca="false">D20</f>
        <v>5</v>
      </c>
      <c r="AG20" s="9" t="n">
        <f aca="false">E20*0.85</f>
        <v>56.2105</v>
      </c>
      <c r="AH20" s="9" t="n">
        <f aca="false">F20*0.9</f>
        <v>3.6</v>
      </c>
      <c r="AI20" s="9" t="n">
        <f aca="false">G20</f>
        <v>0.37</v>
      </c>
      <c r="AJ20" s="9" t="n">
        <f aca="false">H20*1.2</f>
        <v>6</v>
      </c>
      <c r="AK20" s="8" t="n">
        <f aca="false">I20</f>
        <v>1</v>
      </c>
      <c r="AL20" s="8" t="n">
        <f aca="false">J20</f>
        <v>1</v>
      </c>
      <c r="AM20" s="9" t="n">
        <f aca="false">K20</f>
        <v>0.52</v>
      </c>
      <c r="AN20" s="6" t="n">
        <f aca="false">$R$2 + SUMPRODUCT(AD20:AM20,$S$2:$AB$2)</f>
        <v>2.1465268765</v>
      </c>
      <c r="AO20" s="6" t="n">
        <f aca="false">1/(1+EXP(-AN20))</f>
        <v>0.895343780336117</v>
      </c>
    </row>
    <row r="21" customFormat="false" ht="15" hidden="false" customHeight="false" outlineLevel="0" collapsed="false">
      <c r="A21" s="3" t="s">
        <v>72</v>
      </c>
      <c r="B21" s="4" t="n">
        <v>41</v>
      </c>
      <c r="C21" s="4" t="n">
        <v>29200</v>
      </c>
      <c r="D21" s="4" t="n">
        <v>7</v>
      </c>
      <c r="E21" s="5" t="n">
        <v>66.28</v>
      </c>
      <c r="F21" s="4" t="n">
        <v>3</v>
      </c>
      <c r="G21" s="5" t="n">
        <v>0.74</v>
      </c>
      <c r="H21" s="4" t="n">
        <v>106</v>
      </c>
      <c r="I21" s="4" t="n">
        <v>0</v>
      </c>
      <c r="J21" s="4" t="n">
        <v>0</v>
      </c>
      <c r="K21" s="5" t="n">
        <v>0.46</v>
      </c>
      <c r="L21" s="4" t="n">
        <v>0</v>
      </c>
      <c r="M21" s="6" t="n">
        <f aca="false">$R$2 + SUMPRODUCT(B21:K21,$S$2:$AB$2)</f>
        <v>-0.24038004</v>
      </c>
      <c r="N21" s="6" t="n">
        <f aca="false">1/(1+EXP(-M21))</f>
        <v>0.440192697975444</v>
      </c>
      <c r="O21" s="6" t="n">
        <f aca="false">IF(L21=1,N21,1-N21)</f>
        <v>0.559807302024556</v>
      </c>
      <c r="P21" s="6" t="n">
        <f aca="false">LN(O21)</f>
        <v>-0.580162657997725</v>
      </c>
      <c r="Q21" s="16" t="s">
        <v>73</v>
      </c>
      <c r="R21" s="17" t="s">
        <v>74</v>
      </c>
      <c r="AD21" s="8" t="n">
        <f aca="false">B21</f>
        <v>41</v>
      </c>
      <c r="AE21" s="8" t="n">
        <f aca="false">C21</f>
        <v>29200</v>
      </c>
      <c r="AF21" s="8" t="n">
        <f aca="false">D21</f>
        <v>7</v>
      </c>
      <c r="AG21" s="9" t="n">
        <f aca="false">E21*0.85</f>
        <v>56.338</v>
      </c>
      <c r="AH21" s="9" t="n">
        <f aca="false">F21*0.9</f>
        <v>2.7</v>
      </c>
      <c r="AI21" s="9" t="n">
        <f aca="false">G21</f>
        <v>0.74</v>
      </c>
      <c r="AJ21" s="9" t="n">
        <f aca="false">H21*1.2</f>
        <v>127.2</v>
      </c>
      <c r="AK21" s="8" t="n">
        <f aca="false">I21</f>
        <v>0</v>
      </c>
      <c r="AL21" s="8" t="n">
        <f aca="false">J21</f>
        <v>0</v>
      </c>
      <c r="AM21" s="9" t="n">
        <f aca="false">K21</f>
        <v>0.46</v>
      </c>
      <c r="AN21" s="6" t="n">
        <f aca="false">$R$2 + SUMPRODUCT(AD21:AM21,$S$2:$AB$2)</f>
        <v>-0.530819426</v>
      </c>
      <c r="AO21" s="6" t="n">
        <f aca="false">1/(1+EXP(-AN21))</f>
        <v>0.370325790214067</v>
      </c>
    </row>
    <row r="22" customFormat="false" ht="15" hidden="false" customHeight="false" outlineLevel="0" collapsed="false">
      <c r="A22" s="3" t="s">
        <v>75</v>
      </c>
      <c r="B22" s="4" t="n">
        <v>61</v>
      </c>
      <c r="C22" s="4" t="n">
        <v>75900</v>
      </c>
      <c r="D22" s="4" t="n">
        <v>6</v>
      </c>
      <c r="E22" s="5" t="n">
        <v>52.46</v>
      </c>
      <c r="F22" s="4" t="n">
        <v>6</v>
      </c>
      <c r="G22" s="5" t="n">
        <v>0.26</v>
      </c>
      <c r="H22" s="4" t="n">
        <v>278</v>
      </c>
      <c r="I22" s="4" t="n">
        <v>0</v>
      </c>
      <c r="J22" s="4" t="n">
        <v>0</v>
      </c>
      <c r="K22" s="5" t="n">
        <v>0.12</v>
      </c>
      <c r="L22" s="4" t="n">
        <v>0</v>
      </c>
      <c r="M22" s="6" t="n">
        <f aca="false">$R$2 + SUMPRODUCT(B22:K22,$S$2:$AB$2)</f>
        <v>-1.5939214</v>
      </c>
      <c r="N22" s="6" t="n">
        <f aca="false">1/(1+EXP(-M22))</f>
        <v>0.168832898497067</v>
      </c>
      <c r="O22" s="6" t="n">
        <f aca="false">IF(L22=1,N22,1-N22)</f>
        <v>0.831167101502933</v>
      </c>
      <c r="P22" s="6" t="n">
        <f aca="false">LN(O22)</f>
        <v>-0.184924419500461</v>
      </c>
      <c r="Q22" s="16" t="s">
        <v>76</v>
      </c>
      <c r="R22" s="17" t="s">
        <v>77</v>
      </c>
      <c r="AD22" s="8" t="n">
        <f aca="false">B22</f>
        <v>61</v>
      </c>
      <c r="AE22" s="8" t="n">
        <f aca="false">C22</f>
        <v>75900</v>
      </c>
      <c r="AF22" s="8" t="n">
        <f aca="false">D22</f>
        <v>6</v>
      </c>
      <c r="AG22" s="9" t="n">
        <f aca="false">E22*0.85</f>
        <v>44.591</v>
      </c>
      <c r="AH22" s="9" t="n">
        <f aca="false">F22*0.9</f>
        <v>5.4</v>
      </c>
      <c r="AI22" s="9" t="n">
        <f aca="false">G22</f>
        <v>0.26</v>
      </c>
      <c r="AJ22" s="9" t="n">
        <f aca="false">H22*1.2</f>
        <v>333.6</v>
      </c>
      <c r="AK22" s="8" t="n">
        <f aca="false">I22</f>
        <v>0</v>
      </c>
      <c r="AL22" s="8" t="n">
        <f aca="false">J22</f>
        <v>0</v>
      </c>
      <c r="AM22" s="9" t="n">
        <f aca="false">K22</f>
        <v>0.12</v>
      </c>
      <c r="AN22" s="6" t="n">
        <f aca="false">$R$2 + SUMPRODUCT(AD22:AM22,$S$2:$AB$2)</f>
        <v>-2.089408277</v>
      </c>
      <c r="AO22" s="6" t="n">
        <f aca="false">1/(1+EXP(-AN22))</f>
        <v>0.110130550912525</v>
      </c>
    </row>
    <row r="23" customFormat="false" ht="15" hidden="false" customHeight="false" outlineLevel="0" collapsed="false">
      <c r="A23" s="3" t="s">
        <v>78</v>
      </c>
      <c r="B23" s="4" t="n">
        <v>47</v>
      </c>
      <c r="C23" s="4" t="n">
        <v>55200</v>
      </c>
      <c r="D23" s="4" t="n">
        <v>6</v>
      </c>
      <c r="E23" s="5" t="n">
        <v>30.69</v>
      </c>
      <c r="F23" s="4" t="n">
        <v>5</v>
      </c>
      <c r="G23" s="5" t="n">
        <v>0.07</v>
      </c>
      <c r="H23" s="4" t="n">
        <v>100</v>
      </c>
      <c r="I23" s="4" t="n">
        <v>1</v>
      </c>
      <c r="J23" s="4" t="n">
        <v>1</v>
      </c>
      <c r="K23" s="5" t="n">
        <v>0.07</v>
      </c>
      <c r="L23" s="4" t="n">
        <v>0</v>
      </c>
      <c r="M23" s="6" t="n">
        <f aca="false">$R$2 + SUMPRODUCT(B23:K23,$S$2:$AB$2)</f>
        <v>-0.30828895</v>
      </c>
      <c r="N23" s="6" t="n">
        <f aca="false">1/(1+EXP(-M23))</f>
        <v>0.423532441612642</v>
      </c>
      <c r="O23" s="6" t="n">
        <f aca="false">IF(L23=1,N23,1-N23)</f>
        <v>0.576467558387358</v>
      </c>
      <c r="P23" s="6" t="n">
        <f aca="false">LN(O23)</f>
        <v>-0.550836214252167</v>
      </c>
      <c r="Q23" s="16" t="s">
        <v>79</v>
      </c>
      <c r="R23" s="17" t="s">
        <v>80</v>
      </c>
      <c r="AD23" s="8" t="n">
        <f aca="false">B23</f>
        <v>47</v>
      </c>
      <c r="AE23" s="8" t="n">
        <f aca="false">C23</f>
        <v>55200</v>
      </c>
      <c r="AF23" s="8" t="n">
        <f aca="false">D23</f>
        <v>6</v>
      </c>
      <c r="AG23" s="9" t="n">
        <f aca="false">E23*0.85</f>
        <v>26.0865</v>
      </c>
      <c r="AH23" s="9" t="n">
        <f aca="false">F23*0.9</f>
        <v>4.5</v>
      </c>
      <c r="AI23" s="9" t="n">
        <f aca="false">G23</f>
        <v>0.07</v>
      </c>
      <c r="AJ23" s="9" t="n">
        <f aca="false">H23*1.2</f>
        <v>120</v>
      </c>
      <c r="AK23" s="8" t="n">
        <f aca="false">I23</f>
        <v>1</v>
      </c>
      <c r="AL23" s="8" t="n">
        <f aca="false">J23</f>
        <v>1</v>
      </c>
      <c r="AM23" s="9" t="n">
        <f aca="false">K23</f>
        <v>0.07</v>
      </c>
      <c r="AN23" s="6" t="n">
        <f aca="false">$R$2 + SUMPRODUCT(AD23:AM23,$S$2:$AB$2)</f>
        <v>-0.5433192655</v>
      </c>
      <c r="AO23" s="6" t="n">
        <f aca="false">1/(1+EXP(-AN23))</f>
        <v>0.367415774902128</v>
      </c>
    </row>
    <row r="24" customFormat="false" ht="15" hidden="false" customHeight="false" outlineLevel="0" collapsed="false">
      <c r="A24" s="3" t="s">
        <v>81</v>
      </c>
      <c r="B24" s="4" t="n">
        <v>55</v>
      </c>
      <c r="C24" s="4" t="n">
        <v>37300</v>
      </c>
      <c r="D24" s="4" t="n">
        <v>9</v>
      </c>
      <c r="E24" s="5" t="n">
        <v>73.07</v>
      </c>
      <c r="F24" s="4" t="n">
        <v>5</v>
      </c>
      <c r="G24" s="5" t="n">
        <v>0.19</v>
      </c>
      <c r="H24" s="4" t="n">
        <v>238</v>
      </c>
      <c r="I24" s="4" t="n">
        <v>1</v>
      </c>
      <c r="J24" s="4" t="n">
        <v>1</v>
      </c>
      <c r="K24" s="5" t="n">
        <v>0.46</v>
      </c>
      <c r="L24" s="4" t="n">
        <v>0</v>
      </c>
      <c r="M24" s="6" t="n">
        <f aca="false">$R$2 + SUMPRODUCT(B24:K24,$S$2:$AB$2)</f>
        <v>0.17210998</v>
      </c>
      <c r="N24" s="6" t="n">
        <f aca="false">1/(1+EXP(-M24))</f>
        <v>0.54292159586531</v>
      </c>
      <c r="O24" s="6" t="n">
        <f aca="false">IF(L24=1,N24,1-N24)</f>
        <v>0.45707840413469</v>
      </c>
      <c r="P24" s="6" t="n">
        <f aca="false">LN(O24)</f>
        <v>-0.782900340145158</v>
      </c>
      <c r="Q24" s="16" t="s">
        <v>82</v>
      </c>
      <c r="R24" s="17" t="s">
        <v>83</v>
      </c>
      <c r="AD24" s="8" t="n">
        <f aca="false">B24</f>
        <v>55</v>
      </c>
      <c r="AE24" s="8" t="n">
        <f aca="false">C24</f>
        <v>37300</v>
      </c>
      <c r="AF24" s="8" t="n">
        <f aca="false">D24</f>
        <v>9</v>
      </c>
      <c r="AG24" s="9" t="n">
        <f aca="false">E24*0.85</f>
        <v>62.1095</v>
      </c>
      <c r="AH24" s="9" t="n">
        <f aca="false">F24*0.9</f>
        <v>4.5</v>
      </c>
      <c r="AI24" s="9" t="n">
        <f aca="false">G24</f>
        <v>0.19</v>
      </c>
      <c r="AJ24" s="9" t="n">
        <f aca="false">H24*1.2</f>
        <v>285.6</v>
      </c>
      <c r="AK24" s="8" t="n">
        <f aca="false">I24</f>
        <v>1</v>
      </c>
      <c r="AL24" s="8" t="n">
        <f aca="false">J24</f>
        <v>1</v>
      </c>
      <c r="AM24" s="9" t="n">
        <f aca="false">K24</f>
        <v>0.46</v>
      </c>
      <c r="AN24" s="6" t="n">
        <f aca="false">$R$2 + SUMPRODUCT(AD24:AM24,$S$2:$AB$2)</f>
        <v>-0.3072347165</v>
      </c>
      <c r="AO24" s="6" t="n">
        <f aca="false">1/(1+EXP(-AN24))</f>
        <v>0.423789856308848</v>
      </c>
    </row>
    <row r="25" customFormat="false" ht="15" hidden="false" customHeight="false" outlineLevel="0" collapsed="false">
      <c r="A25" s="3" t="s">
        <v>84</v>
      </c>
      <c r="B25" s="4" t="n">
        <v>19</v>
      </c>
      <c r="C25" s="4" t="n">
        <v>63300</v>
      </c>
      <c r="D25" s="4" t="n">
        <v>5</v>
      </c>
      <c r="E25" s="5" t="n">
        <v>63.47</v>
      </c>
      <c r="F25" s="4" t="n">
        <v>4</v>
      </c>
      <c r="G25" s="5" t="n">
        <v>0.6</v>
      </c>
      <c r="H25" s="4" t="n">
        <v>269</v>
      </c>
      <c r="I25" s="4" t="n">
        <v>1</v>
      </c>
      <c r="J25" s="4" t="n">
        <v>0</v>
      </c>
      <c r="K25" s="5" t="n">
        <v>0.43</v>
      </c>
      <c r="L25" s="4" t="n">
        <v>0</v>
      </c>
      <c r="M25" s="6" t="n">
        <f aca="false">$R$2 + SUMPRODUCT(B25:K25,$S$2:$AB$2)</f>
        <v>0.0190823</v>
      </c>
      <c r="N25" s="6" t="n">
        <f aca="false">1/(1+EXP(-M25))</f>
        <v>0.504770430244489</v>
      </c>
      <c r="O25" s="6" t="n">
        <f aca="false">IF(L25=1,N25,1-N25)</f>
        <v>0.495229569755511</v>
      </c>
      <c r="P25" s="6" t="n">
        <f aca="false">LN(O25)</f>
        <v>-0.702733846641031</v>
      </c>
      <c r="Q25" s="16" t="s">
        <v>85</v>
      </c>
      <c r="R25" s="17" t="s">
        <v>86</v>
      </c>
      <c r="AD25" s="8" t="n">
        <f aca="false">B25</f>
        <v>19</v>
      </c>
      <c r="AE25" s="8" t="n">
        <f aca="false">C25</f>
        <v>63300</v>
      </c>
      <c r="AF25" s="8" t="n">
        <f aca="false">D25</f>
        <v>5</v>
      </c>
      <c r="AG25" s="9" t="n">
        <f aca="false">E25*0.85</f>
        <v>53.9495</v>
      </c>
      <c r="AH25" s="9" t="n">
        <f aca="false">F25*0.9</f>
        <v>3.6</v>
      </c>
      <c r="AI25" s="9" t="n">
        <f aca="false">G25</f>
        <v>0.6</v>
      </c>
      <c r="AJ25" s="9" t="n">
        <f aca="false">H25*1.2</f>
        <v>322.8</v>
      </c>
      <c r="AK25" s="8" t="n">
        <f aca="false">I25</f>
        <v>1</v>
      </c>
      <c r="AL25" s="8" t="n">
        <f aca="false">J25</f>
        <v>0</v>
      </c>
      <c r="AM25" s="9" t="n">
        <f aca="false">K25</f>
        <v>0.43</v>
      </c>
      <c r="AN25" s="6" t="n">
        <f aca="false">$R$2 + SUMPRODUCT(AD25:AM25,$S$2:$AB$2)</f>
        <v>-0.4650121765</v>
      </c>
      <c r="AO25" s="6" t="n">
        <f aca="false">1/(1+EXP(-AN25))</f>
        <v>0.385797471902653</v>
      </c>
    </row>
    <row r="26" customFormat="false" ht="15" hidden="false" customHeight="false" outlineLevel="0" collapsed="false">
      <c r="A26" s="3" t="s">
        <v>87</v>
      </c>
      <c r="B26" s="4" t="n">
        <v>38</v>
      </c>
      <c r="C26" s="4" t="n">
        <v>58600</v>
      </c>
      <c r="D26" s="4" t="n">
        <v>10</v>
      </c>
      <c r="E26" s="5" t="n">
        <v>77.51</v>
      </c>
      <c r="F26" s="4" t="n">
        <v>4</v>
      </c>
      <c r="G26" s="5" t="n">
        <v>0.2</v>
      </c>
      <c r="H26" s="4" t="n">
        <v>321</v>
      </c>
      <c r="I26" s="4" t="n">
        <v>0</v>
      </c>
      <c r="J26" s="4" t="n">
        <v>1</v>
      </c>
      <c r="K26" s="5" t="n">
        <v>0.23</v>
      </c>
      <c r="L26" s="4" t="n">
        <v>0</v>
      </c>
      <c r="M26" s="6" t="n">
        <f aca="false">$R$2 + SUMPRODUCT(B26:K26,$S$2:$AB$2)</f>
        <v>-0.45802038</v>
      </c>
      <c r="N26" s="6" t="n">
        <f aca="false">1/(1+EXP(-M26))</f>
        <v>0.387455549686233</v>
      </c>
      <c r="O26" s="6" t="n">
        <f aca="false">IF(L26=1,N26,1-N26)</f>
        <v>0.612544450313767</v>
      </c>
      <c r="P26" s="6" t="n">
        <f aca="false">LN(O26)</f>
        <v>-0.490133767255627</v>
      </c>
      <c r="Q26" s="16" t="s">
        <v>88</v>
      </c>
      <c r="R26" s="17" t="s">
        <v>89</v>
      </c>
      <c r="AD26" s="8" t="n">
        <f aca="false">B26</f>
        <v>38</v>
      </c>
      <c r="AE26" s="8" t="n">
        <f aca="false">C26</f>
        <v>58600</v>
      </c>
      <c r="AF26" s="8" t="n">
        <f aca="false">D26</f>
        <v>10</v>
      </c>
      <c r="AG26" s="9" t="n">
        <f aca="false">E26*0.85</f>
        <v>65.8835</v>
      </c>
      <c r="AH26" s="9" t="n">
        <f aca="false">F26*0.9</f>
        <v>3.6</v>
      </c>
      <c r="AI26" s="9" t="n">
        <f aca="false">G26</f>
        <v>0.2</v>
      </c>
      <c r="AJ26" s="9" t="n">
        <f aca="false">H26*1.2</f>
        <v>385.2</v>
      </c>
      <c r="AK26" s="8" t="n">
        <f aca="false">I26</f>
        <v>0</v>
      </c>
      <c r="AL26" s="8" t="n">
        <f aca="false">J26</f>
        <v>1</v>
      </c>
      <c r="AM26" s="9" t="n">
        <f aca="false">K26</f>
        <v>0.23</v>
      </c>
      <c r="AN26" s="6" t="n">
        <f aca="false">$R$2 + SUMPRODUCT(AD26:AM26,$S$2:$AB$2)</f>
        <v>-1.0302879545</v>
      </c>
      <c r="AO26" s="6" t="n">
        <f aca="false">1/(1+EXP(-AN26))</f>
        <v>0.263028281989144</v>
      </c>
    </row>
    <row r="27" customFormat="false" ht="15" hidden="false" customHeight="false" outlineLevel="0" collapsed="false">
      <c r="A27" s="3" t="s">
        <v>90</v>
      </c>
      <c r="B27" s="4" t="n">
        <v>50</v>
      </c>
      <c r="C27" s="4" t="n">
        <v>44200</v>
      </c>
      <c r="D27" s="4" t="n">
        <v>12</v>
      </c>
      <c r="E27" s="5" t="n">
        <v>51.66</v>
      </c>
      <c r="F27" s="4" t="n">
        <v>3</v>
      </c>
      <c r="G27" s="5" t="n">
        <v>0.56</v>
      </c>
      <c r="H27" s="4" t="n">
        <v>86</v>
      </c>
      <c r="I27" s="4" t="n">
        <v>1</v>
      </c>
      <c r="J27" s="4" t="n">
        <v>1</v>
      </c>
      <c r="K27" s="5" t="n">
        <v>0.34</v>
      </c>
      <c r="L27" s="4" t="n">
        <v>1</v>
      </c>
      <c r="M27" s="6" t="n">
        <f aca="false">$R$2 + SUMPRODUCT(B27:K27,$S$2:$AB$2)</f>
        <v>1.78526976</v>
      </c>
      <c r="N27" s="6" t="n">
        <f aca="false">1/(1+EXP(-M27))</f>
        <v>0.856346355571366</v>
      </c>
      <c r="O27" s="6" t="n">
        <f aca="false">IF(L27=1,N27,1-N27)</f>
        <v>0.856346355571366</v>
      </c>
      <c r="P27" s="6" t="n">
        <f aca="false">LN(O27)</f>
        <v>-0.155080363682808</v>
      </c>
      <c r="AD27" s="8" t="n">
        <f aca="false">B27</f>
        <v>50</v>
      </c>
      <c r="AE27" s="8" t="n">
        <f aca="false">C27</f>
        <v>44200</v>
      </c>
      <c r="AF27" s="8" t="n">
        <f aca="false">D27</f>
        <v>12</v>
      </c>
      <c r="AG27" s="9" t="n">
        <f aca="false">E27*0.85</f>
        <v>43.911</v>
      </c>
      <c r="AH27" s="9" t="n">
        <f aca="false">F27*0.9</f>
        <v>2.7</v>
      </c>
      <c r="AI27" s="9" t="n">
        <f aca="false">G27</f>
        <v>0.56</v>
      </c>
      <c r="AJ27" s="9" t="n">
        <f aca="false">H27*1.2</f>
        <v>103.2</v>
      </c>
      <c r="AK27" s="8" t="n">
        <f aca="false">I27</f>
        <v>1</v>
      </c>
      <c r="AL27" s="8" t="n">
        <f aca="false">J27</f>
        <v>1</v>
      </c>
      <c r="AM27" s="9" t="n">
        <f aca="false">K27</f>
        <v>0.34</v>
      </c>
      <c r="AN27" s="6" t="n">
        <f aca="false">$R$2 + SUMPRODUCT(AD27:AM27,$S$2:$AB$2)</f>
        <v>1.547320943</v>
      </c>
      <c r="AO27" s="6" t="n">
        <f aca="false">1/(1+EXP(-AN27))</f>
        <v>0.824526455897748</v>
      </c>
    </row>
    <row r="28" customFormat="false" ht="19.4" hidden="false" customHeight="true" outlineLevel="0" collapsed="false">
      <c r="A28" s="3" t="s">
        <v>91</v>
      </c>
      <c r="B28" s="4" t="n">
        <v>29</v>
      </c>
      <c r="C28" s="4" t="n">
        <v>56300</v>
      </c>
      <c r="D28" s="4" t="n">
        <v>7</v>
      </c>
      <c r="E28" s="5" t="n">
        <v>95.52</v>
      </c>
      <c r="F28" s="4" t="n">
        <v>1</v>
      </c>
      <c r="G28" s="5" t="n">
        <v>0.57</v>
      </c>
      <c r="H28" s="4" t="n">
        <v>320</v>
      </c>
      <c r="I28" s="4" t="n">
        <v>1</v>
      </c>
      <c r="J28" s="4" t="n">
        <v>1</v>
      </c>
      <c r="K28" s="5" t="n">
        <v>0.58</v>
      </c>
      <c r="L28" s="4" t="n">
        <v>1</v>
      </c>
      <c r="M28" s="6" t="n">
        <f aca="false">$R$2 + SUMPRODUCT(B28:K28,$S$2:$AB$2)</f>
        <v>0.66037577</v>
      </c>
      <c r="N28" s="6" t="n">
        <f aca="false">1/(1+EXP(-M28))</f>
        <v>0.659344794917135</v>
      </c>
      <c r="O28" s="6" t="n">
        <f aca="false">IF(L28=1,N28,1-N28)</f>
        <v>0.659344794917135</v>
      </c>
      <c r="P28" s="6" t="n">
        <f aca="false">LN(O28)</f>
        <v>-0.416508672023433</v>
      </c>
      <c r="Q28" s="18" t="s">
        <v>92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D28" s="8" t="n">
        <f aca="false">B28</f>
        <v>29</v>
      </c>
      <c r="AE28" s="8" t="n">
        <f aca="false">C28</f>
        <v>56300</v>
      </c>
      <c r="AF28" s="8" t="n">
        <f aca="false">D28</f>
        <v>7</v>
      </c>
      <c r="AG28" s="9" t="n">
        <f aca="false">E28*0.85</f>
        <v>81.192</v>
      </c>
      <c r="AH28" s="9" t="n">
        <f aca="false">F28*0.9</f>
        <v>0.9</v>
      </c>
      <c r="AI28" s="9" t="n">
        <f aca="false">G28</f>
        <v>0.57</v>
      </c>
      <c r="AJ28" s="9" t="n">
        <f aca="false">H28*1.2</f>
        <v>384</v>
      </c>
      <c r="AK28" s="8" t="n">
        <f aca="false">I28</f>
        <v>1</v>
      </c>
      <c r="AL28" s="8" t="n">
        <f aca="false">J28</f>
        <v>1</v>
      </c>
      <c r="AM28" s="9" t="n">
        <f aca="false">K28</f>
        <v>0.58</v>
      </c>
      <c r="AN28" s="6" t="n">
        <f aca="false">$R$2 + SUMPRODUCT(AD28:AM28,$S$2:$AB$2)</f>
        <v>0.0877894459999995</v>
      </c>
      <c r="AO28" s="6" t="n">
        <f aca="false">1/(1+EXP(-AN28))</f>
        <v>0.521933276686214</v>
      </c>
    </row>
    <row r="29" customFormat="false" ht="15" hidden="false" customHeight="false" outlineLevel="0" collapsed="false">
      <c r="A29" s="3" t="s">
        <v>93</v>
      </c>
      <c r="B29" s="4" t="n">
        <v>39</v>
      </c>
      <c r="C29" s="4" t="n">
        <v>48100</v>
      </c>
      <c r="D29" s="4" t="n">
        <v>1</v>
      </c>
      <c r="E29" s="5" t="n">
        <v>43.08</v>
      </c>
      <c r="F29" s="4" t="n">
        <v>1</v>
      </c>
      <c r="G29" s="5" t="n">
        <v>0.34</v>
      </c>
      <c r="H29" s="4" t="n">
        <v>32</v>
      </c>
      <c r="I29" s="4" t="n">
        <v>0</v>
      </c>
      <c r="J29" s="4" t="n">
        <v>1</v>
      </c>
      <c r="K29" s="5" t="n">
        <v>0.34</v>
      </c>
      <c r="L29" s="4" t="n">
        <v>0</v>
      </c>
      <c r="M29" s="6" t="n">
        <f aca="false">$R$2 + SUMPRODUCT(B29:K29,$S$2:$AB$2)</f>
        <v>-1.202192</v>
      </c>
      <c r="N29" s="6" t="n">
        <f aca="false">1/(1+EXP(-M29))</f>
        <v>0.231085501431883</v>
      </c>
      <c r="O29" s="6" t="n">
        <f aca="false">IF(L29=1,N29,1-N29)</f>
        <v>0.768914498568117</v>
      </c>
      <c r="P29" s="6" t="n">
        <f aca="false">LN(O29)</f>
        <v>-0.262775500875041</v>
      </c>
      <c r="AD29" s="8" t="n">
        <f aca="false">B29</f>
        <v>39</v>
      </c>
      <c r="AE29" s="8" t="n">
        <f aca="false">C29</f>
        <v>48100</v>
      </c>
      <c r="AF29" s="8" t="n">
        <f aca="false">D29</f>
        <v>1</v>
      </c>
      <c r="AG29" s="9" t="n">
        <f aca="false">E29*0.85</f>
        <v>36.618</v>
      </c>
      <c r="AH29" s="9" t="n">
        <f aca="false">F29*0.9</f>
        <v>0.9</v>
      </c>
      <c r="AI29" s="9" t="n">
        <f aca="false">G29</f>
        <v>0.34</v>
      </c>
      <c r="AJ29" s="9" t="n">
        <f aca="false">H29*1.2</f>
        <v>38.4</v>
      </c>
      <c r="AK29" s="8" t="n">
        <f aca="false">I29</f>
        <v>0</v>
      </c>
      <c r="AL29" s="8" t="n">
        <f aca="false">J29</f>
        <v>1</v>
      </c>
      <c r="AM29" s="9" t="n">
        <f aca="false">K29</f>
        <v>0.34</v>
      </c>
      <c r="AN29" s="6" t="n">
        <f aca="false">$R$2 + SUMPRODUCT(AD29:AM29,$S$2:$AB$2)</f>
        <v>-1.337453546</v>
      </c>
      <c r="AO29" s="6" t="n">
        <f aca="false">1/(1+EXP(-AN29))</f>
        <v>0.20792913389429</v>
      </c>
    </row>
    <row r="30" customFormat="false" ht="15" hidden="false" customHeight="false" outlineLevel="0" collapsed="false">
      <c r="A30" s="3" t="s">
        <v>94</v>
      </c>
      <c r="B30" s="4" t="n">
        <v>61</v>
      </c>
      <c r="C30" s="4" t="n">
        <v>57000</v>
      </c>
      <c r="D30" s="4" t="n">
        <v>8</v>
      </c>
      <c r="E30" s="5" t="n">
        <v>107.8</v>
      </c>
      <c r="F30" s="4" t="n">
        <v>5</v>
      </c>
      <c r="G30" s="5" t="n">
        <v>0.42</v>
      </c>
      <c r="H30" s="4" t="n">
        <v>336</v>
      </c>
      <c r="I30" s="4" t="n">
        <v>1</v>
      </c>
      <c r="J30" s="4" t="n">
        <v>1</v>
      </c>
      <c r="K30" s="5" t="n">
        <v>0.11</v>
      </c>
      <c r="L30" s="4" t="n">
        <v>1</v>
      </c>
      <c r="M30" s="6" t="n">
        <f aca="false">$R$2 + SUMPRODUCT(B30:K30,$S$2:$AB$2)</f>
        <v>0.250225850000001</v>
      </c>
      <c r="N30" s="6" t="n">
        <f aca="false">1/(1+EXP(-M30))</f>
        <v>0.562232089487542</v>
      </c>
      <c r="O30" s="6" t="n">
        <f aca="false">IF(L30=1,N30,1-N30)</f>
        <v>0.562232089487542</v>
      </c>
      <c r="P30" s="6" t="n">
        <f aca="false">LN(O30)</f>
        <v>-0.57584054371894</v>
      </c>
      <c r="AD30" s="8" t="n">
        <f aca="false">B30</f>
        <v>61</v>
      </c>
      <c r="AE30" s="8" t="n">
        <f aca="false">C30</f>
        <v>57000</v>
      </c>
      <c r="AF30" s="8" t="n">
        <f aca="false">D30</f>
        <v>8</v>
      </c>
      <c r="AG30" s="9" t="n">
        <f aca="false">E30*0.85</f>
        <v>91.63</v>
      </c>
      <c r="AH30" s="9" t="n">
        <f aca="false">F30*0.9</f>
        <v>4.5</v>
      </c>
      <c r="AI30" s="9" t="n">
        <f aca="false">G30</f>
        <v>0.42</v>
      </c>
      <c r="AJ30" s="9" t="n">
        <f aca="false">H30*1.2</f>
        <v>403.2</v>
      </c>
      <c r="AK30" s="8" t="n">
        <f aca="false">I30</f>
        <v>1</v>
      </c>
      <c r="AL30" s="8" t="n">
        <f aca="false">J30</f>
        <v>1</v>
      </c>
      <c r="AM30" s="9" t="n">
        <f aca="false">K30</f>
        <v>0.11</v>
      </c>
      <c r="AN30" s="6" t="n">
        <f aca="false">$R$2 + SUMPRODUCT(AD30:AM30,$S$2:$AB$2)</f>
        <v>-0.41195486</v>
      </c>
      <c r="AO30" s="6" t="n">
        <f aca="false">1/(1+EXP(-AN30))</f>
        <v>0.398443475154959</v>
      </c>
    </row>
    <row r="31" customFormat="false" ht="15" hidden="false" customHeight="false" outlineLevel="0" collapsed="false">
      <c r="A31" s="3" t="s">
        <v>95</v>
      </c>
      <c r="B31" s="4" t="n">
        <v>42</v>
      </c>
      <c r="C31" s="4" t="n">
        <v>66900</v>
      </c>
      <c r="D31" s="4" t="n">
        <v>8</v>
      </c>
      <c r="E31" s="5" t="n">
        <v>21.31</v>
      </c>
      <c r="F31" s="4" t="n">
        <v>6</v>
      </c>
      <c r="G31" s="5" t="n">
        <v>0.38</v>
      </c>
      <c r="H31" s="4" t="n">
        <v>51</v>
      </c>
      <c r="I31" s="4" t="n">
        <v>0</v>
      </c>
      <c r="J31" s="4" t="n">
        <v>1</v>
      </c>
      <c r="K31" s="5" t="n">
        <v>0.36</v>
      </c>
      <c r="L31" s="4" t="n">
        <v>1</v>
      </c>
      <c r="M31" s="6" t="n">
        <f aca="false">$R$2 + SUMPRODUCT(B31:K31,$S$2:$AB$2)</f>
        <v>0.78600609</v>
      </c>
      <c r="N31" s="6" t="n">
        <f aca="false">1/(1+EXP(-M31))</f>
        <v>0.686973117984575</v>
      </c>
      <c r="O31" s="6" t="n">
        <f aca="false">IF(L31=1,N31,1-N31)</f>
        <v>0.686973117984575</v>
      </c>
      <c r="P31" s="6" t="n">
        <f aca="false">LN(O31)</f>
        <v>-0.375460117096585</v>
      </c>
      <c r="AD31" s="8" t="n">
        <f aca="false">B31</f>
        <v>42</v>
      </c>
      <c r="AE31" s="8" t="n">
        <f aca="false">C31</f>
        <v>66900</v>
      </c>
      <c r="AF31" s="8" t="n">
        <f aca="false">D31</f>
        <v>8</v>
      </c>
      <c r="AG31" s="9" t="n">
        <f aca="false">E31*0.85</f>
        <v>18.1135</v>
      </c>
      <c r="AH31" s="9" t="n">
        <f aca="false">F31*0.9</f>
        <v>5.4</v>
      </c>
      <c r="AI31" s="9" t="n">
        <f aca="false">G31</f>
        <v>0.38</v>
      </c>
      <c r="AJ31" s="9" t="n">
        <f aca="false">H31*1.2</f>
        <v>61.2</v>
      </c>
      <c r="AK31" s="8" t="n">
        <f aca="false">I31</f>
        <v>0</v>
      </c>
      <c r="AL31" s="8" t="n">
        <f aca="false">J31</f>
        <v>1</v>
      </c>
      <c r="AM31" s="9" t="n">
        <f aca="false">K31</f>
        <v>0.36</v>
      </c>
      <c r="AN31" s="6" t="n">
        <f aca="false">$R$2 + SUMPRODUCT(AD31:AM31,$S$2:$AB$2)</f>
        <v>0.614698105500001</v>
      </c>
      <c r="AO31" s="6" t="n">
        <f aca="false">1/(1+EXP(-AN31))</f>
        <v>0.649011757131203</v>
      </c>
    </row>
    <row r="32" customFormat="false" ht="15" hidden="false" customHeight="false" outlineLevel="0" collapsed="false">
      <c r="A32" s="3" t="s">
        <v>96</v>
      </c>
      <c r="B32" s="4" t="n">
        <v>66</v>
      </c>
      <c r="C32" s="4" t="n">
        <v>83500</v>
      </c>
      <c r="D32" s="4" t="n">
        <v>5</v>
      </c>
      <c r="E32" s="5" t="n">
        <v>75.87</v>
      </c>
      <c r="F32" s="4" t="n">
        <v>6</v>
      </c>
      <c r="G32" s="5" t="n">
        <v>0.15</v>
      </c>
      <c r="H32" s="4" t="n">
        <v>79</v>
      </c>
      <c r="I32" s="4" t="n">
        <v>1</v>
      </c>
      <c r="J32" s="4" t="n">
        <v>1</v>
      </c>
      <c r="K32" s="5" t="n">
        <v>0.24</v>
      </c>
      <c r="L32" s="4" t="n">
        <v>0</v>
      </c>
      <c r="M32" s="6" t="n">
        <f aca="false">$R$2 + SUMPRODUCT(B32:K32,$S$2:$AB$2)</f>
        <v>1.10425228</v>
      </c>
      <c r="N32" s="6" t="n">
        <f aca="false">1/(1+EXP(-M32))</f>
        <v>0.751056006608448</v>
      </c>
      <c r="O32" s="6" t="n">
        <f aca="false">IF(L32=1,N32,1-N32)</f>
        <v>0.248943993391552</v>
      </c>
      <c r="P32" s="6" t="n">
        <f aca="false">LN(O32)</f>
        <v>-1.39052733395545</v>
      </c>
      <c r="AD32" s="8" t="n">
        <f aca="false">B32</f>
        <v>66</v>
      </c>
      <c r="AE32" s="8" t="n">
        <f aca="false">C32</f>
        <v>83500</v>
      </c>
      <c r="AF32" s="8" t="n">
        <f aca="false">D32</f>
        <v>5</v>
      </c>
      <c r="AG32" s="9" t="n">
        <f aca="false">E32*0.85</f>
        <v>64.4895</v>
      </c>
      <c r="AH32" s="9" t="n">
        <f aca="false">F32*0.9</f>
        <v>5.4</v>
      </c>
      <c r="AI32" s="9" t="n">
        <f aca="false">G32</f>
        <v>0.15</v>
      </c>
      <c r="AJ32" s="9" t="n">
        <f aca="false">H32*1.2</f>
        <v>94.8</v>
      </c>
      <c r="AK32" s="8" t="n">
        <f aca="false">I32</f>
        <v>1</v>
      </c>
      <c r="AL32" s="8" t="n">
        <f aca="false">J32</f>
        <v>1</v>
      </c>
      <c r="AM32" s="9" t="n">
        <f aca="false">K32</f>
        <v>0.24</v>
      </c>
      <c r="AN32" s="6" t="n">
        <f aca="false">$R$2 + SUMPRODUCT(AD32:AM32,$S$2:$AB$2)</f>
        <v>0.790763823500001</v>
      </c>
      <c r="AO32" s="6" t="n">
        <f aca="false">1/(1+EXP(-AN32))</f>
        <v>0.687995314765003</v>
      </c>
    </row>
    <row r="33" customFormat="false" ht="15" hidden="false" customHeight="false" outlineLevel="0" collapsed="false">
      <c r="A33" s="3" t="s">
        <v>97</v>
      </c>
      <c r="B33" s="4" t="n">
        <v>44</v>
      </c>
      <c r="C33" s="4" t="n">
        <v>32700</v>
      </c>
      <c r="D33" s="4" t="n">
        <v>7</v>
      </c>
      <c r="E33" s="5" t="n">
        <v>76.89</v>
      </c>
      <c r="F33" s="4" t="n">
        <v>3</v>
      </c>
      <c r="G33" s="5" t="n">
        <v>0.56</v>
      </c>
      <c r="H33" s="4" t="n">
        <v>186</v>
      </c>
      <c r="I33" s="4" t="n">
        <v>1</v>
      </c>
      <c r="J33" s="4" t="n">
        <v>0</v>
      </c>
      <c r="K33" s="5" t="n">
        <v>0.3</v>
      </c>
      <c r="L33" s="4" t="n">
        <v>0</v>
      </c>
      <c r="M33" s="6" t="n">
        <f aca="false">$R$2 + SUMPRODUCT(B33:K33,$S$2:$AB$2)</f>
        <v>-0.26706397</v>
      </c>
      <c r="N33" s="6" t="n">
        <f aca="false">1/(1+EXP(-M33))</f>
        <v>0.43362802761542</v>
      </c>
      <c r="O33" s="6" t="n">
        <f aca="false">IF(L33=1,N33,1-N33)</f>
        <v>0.56637197238458</v>
      </c>
      <c r="P33" s="6" t="n">
        <f aca="false">LN(O33)</f>
        <v>-0.568504221611277</v>
      </c>
      <c r="AD33" s="8" t="n">
        <f aca="false">B33</f>
        <v>44</v>
      </c>
      <c r="AE33" s="8" t="n">
        <f aca="false">C33</f>
        <v>32700</v>
      </c>
      <c r="AF33" s="8" t="n">
        <f aca="false">D33</f>
        <v>7</v>
      </c>
      <c r="AG33" s="9" t="n">
        <f aca="false">E33*0.85</f>
        <v>65.3565</v>
      </c>
      <c r="AH33" s="9" t="n">
        <f aca="false">F33*0.9</f>
        <v>2.7</v>
      </c>
      <c r="AI33" s="9" t="n">
        <f aca="false">G33</f>
        <v>0.56</v>
      </c>
      <c r="AJ33" s="9" t="n">
        <f aca="false">H33*1.2</f>
        <v>223.2</v>
      </c>
      <c r="AK33" s="8" t="n">
        <f aca="false">I33</f>
        <v>1</v>
      </c>
      <c r="AL33" s="8" t="n">
        <f aca="false">J33</f>
        <v>0</v>
      </c>
      <c r="AM33" s="9" t="n">
        <f aca="false">K33</f>
        <v>0.3</v>
      </c>
      <c r="AN33" s="6" t="n">
        <f aca="false">$R$2 + SUMPRODUCT(AD33:AM33,$S$2:$AB$2)</f>
        <v>-0.6710099755</v>
      </c>
      <c r="AO33" s="6" t="n">
        <f aca="false">1/(1+EXP(-AN33))</f>
        <v>0.338270727287697</v>
      </c>
    </row>
    <row r="34" customFormat="false" ht="15" hidden="false" customHeight="false" outlineLevel="0" collapsed="false">
      <c r="A34" s="3" t="s">
        <v>98</v>
      </c>
      <c r="B34" s="4" t="n">
        <v>59</v>
      </c>
      <c r="C34" s="4" t="n">
        <v>93400</v>
      </c>
      <c r="D34" s="4" t="n">
        <v>4</v>
      </c>
      <c r="E34" s="5" t="n">
        <v>45.11</v>
      </c>
      <c r="F34" s="4" t="n">
        <v>6</v>
      </c>
      <c r="G34" s="5" t="n">
        <v>0.53</v>
      </c>
      <c r="H34" s="4" t="n">
        <v>174</v>
      </c>
      <c r="I34" s="4" t="n">
        <v>1</v>
      </c>
      <c r="J34" s="4" t="n">
        <v>1</v>
      </c>
      <c r="K34" s="5" t="n">
        <v>0.32</v>
      </c>
      <c r="L34" s="4" t="n">
        <v>1</v>
      </c>
      <c r="M34" s="6" t="n">
        <f aca="false">$R$2 + SUMPRODUCT(B34:K34,$S$2:$AB$2)</f>
        <v>0.982180820000001</v>
      </c>
      <c r="N34" s="6" t="n">
        <f aca="false">1/(1+EXP(-M34))</f>
        <v>0.727540724312756</v>
      </c>
      <c r="O34" s="6" t="n">
        <f aca="false">IF(L34=1,N34,1-N34)</f>
        <v>0.727540724312756</v>
      </c>
      <c r="P34" s="6" t="n">
        <f aca="false">LN(O34)</f>
        <v>-0.318085303066445</v>
      </c>
      <c r="AD34" s="8" t="n">
        <f aca="false">B34</f>
        <v>59</v>
      </c>
      <c r="AE34" s="8" t="n">
        <f aca="false">C34</f>
        <v>93400</v>
      </c>
      <c r="AF34" s="8" t="n">
        <f aca="false">D34</f>
        <v>4</v>
      </c>
      <c r="AG34" s="9" t="n">
        <f aca="false">E34*0.85</f>
        <v>38.3435</v>
      </c>
      <c r="AH34" s="9" t="n">
        <f aca="false">F34*0.9</f>
        <v>5.4</v>
      </c>
      <c r="AI34" s="9" t="n">
        <f aca="false">G34</f>
        <v>0.53</v>
      </c>
      <c r="AJ34" s="9" t="n">
        <f aca="false">H34*1.2</f>
        <v>208.8</v>
      </c>
      <c r="AK34" s="8" t="n">
        <f aca="false">I34</f>
        <v>1</v>
      </c>
      <c r="AL34" s="8" t="n">
        <f aca="false">J34</f>
        <v>1</v>
      </c>
      <c r="AM34" s="9" t="n">
        <f aca="false">K34</f>
        <v>0.32</v>
      </c>
      <c r="AN34" s="6" t="n">
        <f aca="false">$R$2 + SUMPRODUCT(AD34:AM34,$S$2:$AB$2)</f>
        <v>0.621270225500001</v>
      </c>
      <c r="AO34" s="6" t="n">
        <f aca="false">1/(1+EXP(-AN34))</f>
        <v>0.650507386380224</v>
      </c>
    </row>
    <row r="35" customFormat="false" ht="15" hidden="false" customHeight="false" outlineLevel="0" collapsed="false">
      <c r="A35" s="3" t="s">
        <v>99</v>
      </c>
      <c r="B35" s="4" t="n">
        <v>45</v>
      </c>
      <c r="C35" s="4" t="n">
        <v>19900</v>
      </c>
      <c r="D35" s="4" t="n">
        <v>7</v>
      </c>
      <c r="E35" s="5" t="n">
        <v>75.61</v>
      </c>
      <c r="F35" s="4" t="n">
        <v>5</v>
      </c>
      <c r="G35" s="5" t="n">
        <v>0.37</v>
      </c>
      <c r="H35" s="4" t="n">
        <v>106</v>
      </c>
      <c r="I35" s="4" t="n">
        <v>1</v>
      </c>
      <c r="J35" s="4" t="n">
        <v>0</v>
      </c>
      <c r="K35" s="5" t="n">
        <v>0.43</v>
      </c>
      <c r="L35" s="4" t="n">
        <v>1</v>
      </c>
      <c r="M35" s="6" t="n">
        <f aca="false">$R$2 + SUMPRODUCT(B35:K35,$S$2:$AB$2)</f>
        <v>-0.0630504099999998</v>
      </c>
      <c r="N35" s="6" t="n">
        <f aca="false">1/(1+EXP(-M35))</f>
        <v>0.484242617252313</v>
      </c>
      <c r="O35" s="6" t="n">
        <f aca="false">IF(L35=1,N35,1-N35)</f>
        <v>0.484242617252313</v>
      </c>
      <c r="P35" s="6" t="n">
        <f aca="false">LN(O35)</f>
        <v>-0.72516922254731</v>
      </c>
      <c r="AD35" s="8" t="n">
        <f aca="false">B35</f>
        <v>45</v>
      </c>
      <c r="AE35" s="8" t="n">
        <f aca="false">C35</f>
        <v>19900</v>
      </c>
      <c r="AF35" s="8" t="n">
        <f aca="false">D35</f>
        <v>7</v>
      </c>
      <c r="AG35" s="9" t="n">
        <f aca="false">E35*0.85</f>
        <v>64.2685</v>
      </c>
      <c r="AH35" s="9" t="n">
        <f aca="false">F35*0.9</f>
        <v>4.5</v>
      </c>
      <c r="AI35" s="9" t="n">
        <f aca="false">G35</f>
        <v>0.37</v>
      </c>
      <c r="AJ35" s="9" t="n">
        <f aca="false">H35*1.2</f>
        <v>127.2</v>
      </c>
      <c r="AK35" s="8" t="n">
        <f aca="false">I35</f>
        <v>1</v>
      </c>
      <c r="AL35" s="8" t="n">
        <f aca="false">J35</f>
        <v>0</v>
      </c>
      <c r="AM35" s="9" t="n">
        <f aca="false">K35</f>
        <v>0.43</v>
      </c>
      <c r="AN35" s="6" t="n">
        <f aca="false">$R$2 + SUMPRODUCT(AD35:AM35,$S$2:$AB$2)</f>
        <v>-0.395501879499999</v>
      </c>
      <c r="AO35" s="6" t="n">
        <f aca="false">1/(1+EXP(-AN35))</f>
        <v>0.402393539804673</v>
      </c>
    </row>
    <row r="36" customFormat="false" ht="15" hidden="false" customHeight="false" outlineLevel="0" collapsed="false">
      <c r="A36" s="3" t="s">
        <v>100</v>
      </c>
      <c r="B36" s="4" t="n">
        <v>33</v>
      </c>
      <c r="C36" s="4" t="n">
        <v>52300</v>
      </c>
      <c r="D36" s="4" t="n">
        <v>4</v>
      </c>
      <c r="E36" s="5" t="n">
        <v>96.99</v>
      </c>
      <c r="F36" s="4" t="n">
        <v>6</v>
      </c>
      <c r="G36" s="5" t="n">
        <v>0.08</v>
      </c>
      <c r="H36" s="4" t="n">
        <v>63</v>
      </c>
      <c r="I36" s="4" t="n">
        <v>0</v>
      </c>
      <c r="J36" s="4" t="n">
        <v>1</v>
      </c>
      <c r="K36" s="5" t="n">
        <v>0.66</v>
      </c>
      <c r="L36" s="4" t="n">
        <v>0</v>
      </c>
      <c r="M36" s="6" t="n">
        <f aca="false">$R$2 + SUMPRODUCT(B36:K36,$S$2:$AB$2)</f>
        <v>0.591911130000001</v>
      </c>
      <c r="N36" s="6" t="n">
        <f aca="false">1/(1+EXP(-M36))</f>
        <v>0.643803527414336</v>
      </c>
      <c r="O36" s="6" t="n">
        <f aca="false">IF(L36=1,N36,1-N36)</f>
        <v>0.356196472585664</v>
      </c>
      <c r="P36" s="6" t="n">
        <f aca="false">LN(O36)</f>
        <v>-1.03227281107942</v>
      </c>
      <c r="AD36" s="8" t="n">
        <f aca="false">B36</f>
        <v>33</v>
      </c>
      <c r="AE36" s="8" t="n">
        <f aca="false">C36</f>
        <v>52300</v>
      </c>
      <c r="AF36" s="8" t="n">
        <f aca="false">D36</f>
        <v>4</v>
      </c>
      <c r="AG36" s="9" t="n">
        <f aca="false">E36*0.85</f>
        <v>82.4415</v>
      </c>
      <c r="AH36" s="9" t="n">
        <f aca="false">F36*0.9</f>
        <v>5.4</v>
      </c>
      <c r="AI36" s="9" t="n">
        <f aca="false">G36</f>
        <v>0.08</v>
      </c>
      <c r="AJ36" s="9" t="n">
        <f aca="false">H36*1.2</f>
        <v>75.6</v>
      </c>
      <c r="AK36" s="8" t="n">
        <f aca="false">I36</f>
        <v>0</v>
      </c>
      <c r="AL36" s="8" t="n">
        <f aca="false">J36</f>
        <v>1</v>
      </c>
      <c r="AM36" s="9" t="n">
        <f aca="false">K36</f>
        <v>0.66</v>
      </c>
      <c r="AN36" s="6" t="n">
        <f aca="false">$R$2 + SUMPRODUCT(AD36:AM36,$S$2:$AB$2)</f>
        <v>0.254292529500001</v>
      </c>
      <c r="AO36" s="6" t="n">
        <f aca="false">1/(1+EXP(-AN36))</f>
        <v>0.563232755166623</v>
      </c>
    </row>
    <row r="37" customFormat="false" ht="15" hidden="false" customHeight="false" outlineLevel="0" collapsed="false">
      <c r="A37" s="3" t="s">
        <v>101</v>
      </c>
      <c r="B37" s="4" t="n">
        <v>32</v>
      </c>
      <c r="C37" s="4" t="n">
        <v>65600</v>
      </c>
      <c r="D37" s="4" t="n">
        <v>7</v>
      </c>
      <c r="E37" s="5" t="n">
        <v>10</v>
      </c>
      <c r="F37" s="4" t="n">
        <v>1</v>
      </c>
      <c r="G37" s="5" t="n">
        <v>0.12</v>
      </c>
      <c r="H37" s="4" t="n">
        <v>76</v>
      </c>
      <c r="I37" s="4" t="n">
        <v>0</v>
      </c>
      <c r="J37" s="4" t="n">
        <v>0</v>
      </c>
      <c r="K37" s="5" t="n">
        <v>0.32</v>
      </c>
      <c r="L37" s="4" t="n">
        <v>0</v>
      </c>
      <c r="M37" s="6" t="n">
        <f aca="false">$R$2 + SUMPRODUCT(B37:K37,$S$2:$AB$2)</f>
        <v>-1.29825692</v>
      </c>
      <c r="N37" s="6" t="n">
        <f aca="false">1/(1+EXP(-M37))</f>
        <v>0.214458520626065</v>
      </c>
      <c r="O37" s="6" t="n">
        <f aca="false">IF(L37=1,N37,1-N37)</f>
        <v>0.785541479373935</v>
      </c>
      <c r="P37" s="6" t="n">
        <f aca="false">LN(O37)</f>
        <v>-0.241382016348477</v>
      </c>
      <c r="AD37" s="8" t="n">
        <f aca="false">B37</f>
        <v>32</v>
      </c>
      <c r="AE37" s="8" t="n">
        <f aca="false">C37</f>
        <v>65600</v>
      </c>
      <c r="AF37" s="8" t="n">
        <f aca="false">D37</f>
        <v>7</v>
      </c>
      <c r="AG37" s="9" t="n">
        <f aca="false">E37*0.85</f>
        <v>8.5</v>
      </c>
      <c r="AH37" s="9" t="n">
        <f aca="false">F37*0.9</f>
        <v>0.9</v>
      </c>
      <c r="AI37" s="9" t="n">
        <f aca="false">G37</f>
        <v>0.12</v>
      </c>
      <c r="AJ37" s="9" t="n">
        <f aca="false">H37*1.2</f>
        <v>91.2</v>
      </c>
      <c r="AK37" s="8" t="n">
        <f aca="false">I37</f>
        <v>0</v>
      </c>
      <c r="AL37" s="8" t="n">
        <f aca="false">J37</f>
        <v>0</v>
      </c>
      <c r="AM37" s="9" t="n">
        <f aca="false">K37</f>
        <v>0.32</v>
      </c>
      <c r="AN37" s="6" t="n">
        <f aca="false">$R$2 + SUMPRODUCT(AD37:AM37,$S$2:$AB$2)</f>
        <v>-1.41753432</v>
      </c>
      <c r="AO37" s="6" t="n">
        <f aca="false">1/(1+EXP(-AN37))</f>
        <v>0.19504841546389</v>
      </c>
    </row>
    <row r="38" customFormat="false" ht="15" hidden="false" customHeight="false" outlineLevel="0" collapsed="false">
      <c r="A38" s="3" t="s">
        <v>102</v>
      </c>
      <c r="B38" s="4" t="n">
        <v>64</v>
      </c>
      <c r="C38" s="4" t="n">
        <v>60100</v>
      </c>
      <c r="D38" s="4" t="n">
        <v>5</v>
      </c>
      <c r="E38" s="5" t="n">
        <v>77.57</v>
      </c>
      <c r="F38" s="4" t="n">
        <v>3</v>
      </c>
      <c r="G38" s="5" t="n">
        <v>0.5</v>
      </c>
      <c r="H38" s="4" t="n">
        <v>316</v>
      </c>
      <c r="I38" s="4" t="n">
        <v>1</v>
      </c>
      <c r="J38" s="4" t="n">
        <v>1</v>
      </c>
      <c r="K38" s="5" t="n">
        <v>0.26</v>
      </c>
      <c r="L38" s="4" t="n">
        <v>0</v>
      </c>
      <c r="M38" s="6" t="n">
        <f aca="false">$R$2 + SUMPRODUCT(B38:K38,$S$2:$AB$2)</f>
        <v>-0.50007711</v>
      </c>
      <c r="N38" s="6" t="n">
        <f aca="false">1/(1+EXP(-M38))</f>
        <v>0.37752254783302</v>
      </c>
      <c r="O38" s="6" t="n">
        <f aca="false">IF(L38=1,N38,1-N38)</f>
        <v>0.62247745216698</v>
      </c>
      <c r="P38" s="6" t="n">
        <f aca="false">LN(O38)</f>
        <v>-0.474047872717792</v>
      </c>
      <c r="AD38" s="8" t="n">
        <f aca="false">B38</f>
        <v>64</v>
      </c>
      <c r="AE38" s="8" t="n">
        <f aca="false">C38</f>
        <v>60100</v>
      </c>
      <c r="AF38" s="8" t="n">
        <f aca="false">D38</f>
        <v>5</v>
      </c>
      <c r="AG38" s="9" t="n">
        <f aca="false">E38*0.85</f>
        <v>65.9345</v>
      </c>
      <c r="AH38" s="9" t="n">
        <f aca="false">F38*0.9</f>
        <v>2.7</v>
      </c>
      <c r="AI38" s="9" t="n">
        <f aca="false">G38</f>
        <v>0.5</v>
      </c>
      <c r="AJ38" s="9" t="n">
        <f aca="false">H38*1.2</f>
        <v>379.2</v>
      </c>
      <c r="AK38" s="8" t="n">
        <f aca="false">I38</f>
        <v>1</v>
      </c>
      <c r="AL38" s="8" t="n">
        <f aca="false">J38</f>
        <v>1</v>
      </c>
      <c r="AM38" s="9" t="n">
        <f aca="false">K38</f>
        <v>0.26</v>
      </c>
      <c r="AN38" s="6" t="n">
        <f aca="false">$R$2 + SUMPRODUCT(AD38:AM38,$S$2:$AB$2)</f>
        <v>-1.0551012815</v>
      </c>
      <c r="AO38" s="6" t="n">
        <f aca="false">1/(1+EXP(-AN38))</f>
        <v>0.258246718580263</v>
      </c>
    </row>
    <row r="39" customFormat="false" ht="15" hidden="false" customHeight="false" outlineLevel="0" collapsed="false">
      <c r="A39" s="3" t="s">
        <v>103</v>
      </c>
      <c r="B39" s="4" t="n">
        <v>68</v>
      </c>
      <c r="C39" s="4" t="n">
        <v>43800</v>
      </c>
      <c r="D39" s="4" t="n">
        <v>12</v>
      </c>
      <c r="E39" s="5" t="n">
        <v>10</v>
      </c>
      <c r="F39" s="4" t="n">
        <v>3</v>
      </c>
      <c r="G39" s="5" t="n">
        <v>0.38</v>
      </c>
      <c r="H39" s="4" t="n">
        <v>321</v>
      </c>
      <c r="I39" s="4" t="n">
        <v>1</v>
      </c>
      <c r="J39" s="4" t="n">
        <v>0</v>
      </c>
      <c r="K39" s="5" t="n">
        <v>0.29</v>
      </c>
      <c r="L39" s="4" t="n">
        <v>1</v>
      </c>
      <c r="M39" s="6" t="n">
        <f aca="false">$R$2 + SUMPRODUCT(B39:K39,$S$2:$AB$2)</f>
        <v>-1.32798745</v>
      </c>
      <c r="N39" s="6" t="n">
        <f aca="false">1/(1+EXP(-M39))</f>
        <v>0.209492459438581</v>
      </c>
      <c r="O39" s="6" t="n">
        <f aca="false">IF(L39=1,N39,1-N39)</f>
        <v>0.209492459438581</v>
      </c>
      <c r="P39" s="6" t="n">
        <f aca="false">LN(O39)</f>
        <v>-1.56306753340098</v>
      </c>
      <c r="AD39" s="8" t="n">
        <f aca="false">B39</f>
        <v>68</v>
      </c>
      <c r="AE39" s="8" t="n">
        <f aca="false">C39</f>
        <v>43800</v>
      </c>
      <c r="AF39" s="8" t="n">
        <f aca="false">D39</f>
        <v>12</v>
      </c>
      <c r="AG39" s="9" t="n">
        <f aca="false">E39*0.85</f>
        <v>8.5</v>
      </c>
      <c r="AH39" s="9" t="n">
        <f aca="false">F39*0.9</f>
        <v>2.7</v>
      </c>
      <c r="AI39" s="9" t="n">
        <f aca="false">G39</f>
        <v>0.38</v>
      </c>
      <c r="AJ39" s="9" t="n">
        <f aca="false">H39*1.2</f>
        <v>385.2</v>
      </c>
      <c r="AK39" s="8" t="n">
        <f aca="false">I39</f>
        <v>1</v>
      </c>
      <c r="AL39" s="8" t="n">
        <f aca="false">J39</f>
        <v>0</v>
      </c>
      <c r="AM39" s="9" t="n">
        <f aca="false">K39</f>
        <v>0.29</v>
      </c>
      <c r="AN39" s="6" t="n">
        <f aca="false">$R$2 + SUMPRODUCT(AD39:AM39,$S$2:$AB$2)</f>
        <v>-1.75261945</v>
      </c>
      <c r="AO39" s="6" t="n">
        <f aca="false">1/(1+EXP(-AN39))</f>
        <v>0.147717113334112</v>
      </c>
    </row>
    <row r="40" customFormat="false" ht="15" hidden="false" customHeight="false" outlineLevel="0" collapsed="false">
      <c r="A40" s="3" t="s">
        <v>104</v>
      </c>
      <c r="B40" s="4" t="n">
        <v>61</v>
      </c>
      <c r="C40" s="4" t="n">
        <v>51300</v>
      </c>
      <c r="D40" s="4" t="n">
        <v>5</v>
      </c>
      <c r="E40" s="5" t="n">
        <v>40.86</v>
      </c>
      <c r="F40" s="4" t="n">
        <v>6</v>
      </c>
      <c r="G40" s="5" t="n">
        <v>0.58</v>
      </c>
      <c r="H40" s="4" t="n">
        <v>81</v>
      </c>
      <c r="I40" s="4" t="n">
        <v>1</v>
      </c>
      <c r="J40" s="4" t="n">
        <v>1</v>
      </c>
      <c r="K40" s="5" t="n">
        <v>0.15</v>
      </c>
      <c r="L40" s="4" t="n">
        <v>0</v>
      </c>
      <c r="M40" s="6" t="n">
        <f aca="false">$R$2 + SUMPRODUCT(B40:K40,$S$2:$AB$2)</f>
        <v>0.54706751</v>
      </c>
      <c r="N40" s="6" t="n">
        <f aca="false">1/(1+EXP(-M40))</f>
        <v>0.633454963679245</v>
      </c>
      <c r="O40" s="6" t="n">
        <f aca="false">IF(L40=1,N40,1-N40)</f>
        <v>0.366545036320755</v>
      </c>
      <c r="P40" s="6" t="n">
        <f aca="false">LN(O40)</f>
        <v>-1.00363388301996</v>
      </c>
      <c r="AD40" s="8" t="n">
        <f aca="false">B40</f>
        <v>61</v>
      </c>
      <c r="AE40" s="8" t="n">
        <f aca="false">C40</f>
        <v>51300</v>
      </c>
      <c r="AF40" s="8" t="n">
        <f aca="false">D40</f>
        <v>5</v>
      </c>
      <c r="AG40" s="9" t="n">
        <f aca="false">E40*0.85</f>
        <v>34.731</v>
      </c>
      <c r="AH40" s="9" t="n">
        <f aca="false">F40*0.9</f>
        <v>5.4</v>
      </c>
      <c r="AI40" s="9" t="n">
        <f aca="false">G40</f>
        <v>0.58</v>
      </c>
      <c r="AJ40" s="9" t="n">
        <f aca="false">H40*1.2</f>
        <v>97.2</v>
      </c>
      <c r="AK40" s="8" t="n">
        <f aca="false">I40</f>
        <v>1</v>
      </c>
      <c r="AL40" s="8" t="n">
        <f aca="false">J40</f>
        <v>1</v>
      </c>
      <c r="AM40" s="9" t="n">
        <f aca="false">K40</f>
        <v>0.15</v>
      </c>
      <c r="AN40" s="6" t="n">
        <f aca="false">$R$2 + SUMPRODUCT(AD40:AM40,$S$2:$AB$2)</f>
        <v>0.301819253000001</v>
      </c>
      <c r="AO40" s="6" t="n">
        <f aca="false">1/(1+EXP(-AN40))</f>
        <v>0.574887187984219</v>
      </c>
    </row>
    <row r="41" customFormat="false" ht="15" hidden="false" customHeight="false" outlineLevel="0" collapsed="false">
      <c r="A41" s="3" t="s">
        <v>105</v>
      </c>
      <c r="B41" s="4" t="n">
        <v>69</v>
      </c>
      <c r="C41" s="4" t="n">
        <v>46100</v>
      </c>
      <c r="D41" s="4" t="n">
        <v>5</v>
      </c>
      <c r="E41" s="5" t="n">
        <v>105.73</v>
      </c>
      <c r="F41" s="4" t="n">
        <v>2</v>
      </c>
      <c r="G41" s="5" t="n">
        <v>0.62</v>
      </c>
      <c r="H41" s="4" t="n">
        <v>361</v>
      </c>
      <c r="I41" s="4" t="n">
        <v>1</v>
      </c>
      <c r="J41" s="4" t="n">
        <v>0</v>
      </c>
      <c r="K41" s="5" t="n">
        <v>0.16</v>
      </c>
      <c r="L41" s="4" t="n">
        <v>1</v>
      </c>
      <c r="M41" s="6" t="n">
        <f aca="false">$R$2 + SUMPRODUCT(B41:K41,$S$2:$AB$2)</f>
        <v>-1.42192261</v>
      </c>
      <c r="N41" s="6" t="n">
        <f aca="false">1/(1+EXP(-M41))</f>
        <v>0.1943603559266</v>
      </c>
      <c r="O41" s="6" t="n">
        <f aca="false">IF(L41=1,N41,1-N41)</f>
        <v>0.1943603559266</v>
      </c>
      <c r="P41" s="6" t="n">
        <f aca="false">LN(O41)</f>
        <v>-1.63804133817116</v>
      </c>
      <c r="AD41" s="8" t="n">
        <f aca="false">B41</f>
        <v>69</v>
      </c>
      <c r="AE41" s="8" t="n">
        <f aca="false">C41</f>
        <v>46100</v>
      </c>
      <c r="AF41" s="8" t="n">
        <f aca="false">D41</f>
        <v>5</v>
      </c>
      <c r="AG41" s="9" t="n">
        <f aca="false">E41*0.85</f>
        <v>89.8705</v>
      </c>
      <c r="AH41" s="9" t="n">
        <f aca="false">F41*0.9</f>
        <v>1.8</v>
      </c>
      <c r="AI41" s="9" t="n">
        <f aca="false">G41</f>
        <v>0.62</v>
      </c>
      <c r="AJ41" s="9" t="n">
        <f aca="false">H41*1.2</f>
        <v>433.2</v>
      </c>
      <c r="AK41" s="8" t="n">
        <f aca="false">I41</f>
        <v>1</v>
      </c>
      <c r="AL41" s="8" t="n">
        <f aca="false">J41</f>
        <v>0</v>
      </c>
      <c r="AM41" s="9" t="n">
        <f aca="false">K41</f>
        <v>0.16</v>
      </c>
      <c r="AN41" s="6" t="n">
        <f aca="false">$R$2 + SUMPRODUCT(AD41:AM41,$S$2:$AB$2)</f>
        <v>-2.0739034735</v>
      </c>
      <c r="AO41" s="6" t="n">
        <f aca="false">1/(1+EXP(-AN41))</f>
        <v>0.111659259951319</v>
      </c>
    </row>
    <row r="42" customFormat="false" ht="15" hidden="false" customHeight="false" outlineLevel="0" collapsed="false">
      <c r="A42" s="3" t="s">
        <v>106</v>
      </c>
      <c r="B42" s="4" t="n">
        <v>20</v>
      </c>
      <c r="C42" s="4" t="n">
        <v>44400</v>
      </c>
      <c r="D42" s="4" t="n">
        <v>5</v>
      </c>
      <c r="E42" s="5" t="n">
        <v>50.46</v>
      </c>
      <c r="F42" s="4" t="n">
        <v>9</v>
      </c>
      <c r="G42" s="5" t="n">
        <v>0.55</v>
      </c>
      <c r="H42" s="4" t="n">
        <v>128</v>
      </c>
      <c r="I42" s="4" t="n">
        <v>1</v>
      </c>
      <c r="J42" s="4" t="n">
        <v>1</v>
      </c>
      <c r="K42" s="5" t="n">
        <v>0.24</v>
      </c>
      <c r="L42" s="4" t="n">
        <v>1</v>
      </c>
      <c r="M42" s="6" t="n">
        <f aca="false">$R$2 + SUMPRODUCT(B42:K42,$S$2:$AB$2)</f>
        <v>1.12068115</v>
      </c>
      <c r="N42" s="6" t="n">
        <f aca="false">1/(1+EXP(-M42))</f>
        <v>0.754115040920268</v>
      </c>
      <c r="O42" s="6" t="n">
        <f aca="false">IF(L42=1,N42,1-N42)</f>
        <v>0.754115040920268</v>
      </c>
      <c r="P42" s="6" t="n">
        <f aca="false">LN(O42)</f>
        <v>-0.282210348447624</v>
      </c>
      <c r="AD42" s="8" t="n">
        <f aca="false">B42</f>
        <v>20</v>
      </c>
      <c r="AE42" s="8" t="n">
        <f aca="false">C42</f>
        <v>44400</v>
      </c>
      <c r="AF42" s="8" t="n">
        <f aca="false">D42</f>
        <v>5</v>
      </c>
      <c r="AG42" s="9" t="n">
        <f aca="false">E42*0.85</f>
        <v>42.891</v>
      </c>
      <c r="AH42" s="9" t="n">
        <f aca="false">F42*0.9</f>
        <v>8.1</v>
      </c>
      <c r="AI42" s="9" t="n">
        <f aca="false">G42</f>
        <v>0.55</v>
      </c>
      <c r="AJ42" s="9" t="n">
        <f aca="false">H42*1.2</f>
        <v>153.6</v>
      </c>
      <c r="AK42" s="8" t="n">
        <f aca="false">I42</f>
        <v>1</v>
      </c>
      <c r="AL42" s="8" t="n">
        <f aca="false">J42</f>
        <v>1</v>
      </c>
      <c r="AM42" s="9" t="n">
        <f aca="false">K42</f>
        <v>0.24</v>
      </c>
      <c r="AN42" s="6" t="n">
        <f aca="false">$R$2 + SUMPRODUCT(AD42:AM42,$S$2:$AB$2)</f>
        <v>0.767145273000001</v>
      </c>
      <c r="AO42" s="6" t="n">
        <f aca="false">1/(1+EXP(-AN42))</f>
        <v>0.682903035681337</v>
      </c>
    </row>
    <row r="43" customFormat="false" ht="15" hidden="false" customHeight="false" outlineLevel="0" collapsed="false">
      <c r="A43" s="3" t="s">
        <v>107</v>
      </c>
      <c r="B43" s="4" t="n">
        <v>54</v>
      </c>
      <c r="C43" s="4" t="n">
        <v>70300</v>
      </c>
      <c r="D43" s="4" t="n">
        <v>4</v>
      </c>
      <c r="E43" s="5" t="n">
        <v>35.65</v>
      </c>
      <c r="F43" s="4" t="n">
        <v>4</v>
      </c>
      <c r="G43" s="5" t="n">
        <v>0.59</v>
      </c>
      <c r="H43" s="4" t="n">
        <v>183</v>
      </c>
      <c r="I43" s="4" t="n">
        <v>1</v>
      </c>
      <c r="J43" s="4" t="n">
        <v>1</v>
      </c>
      <c r="K43" s="5" t="n">
        <v>0.39</v>
      </c>
      <c r="L43" s="4" t="n">
        <v>1</v>
      </c>
      <c r="M43" s="6" t="n">
        <f aca="false">$R$2 + SUMPRODUCT(B43:K43,$S$2:$AB$2)</f>
        <v>0.27637421</v>
      </c>
      <c r="N43" s="6" t="n">
        <f aca="false">1/(1+EXP(-M43))</f>
        <v>0.568657089985338</v>
      </c>
      <c r="O43" s="6" t="n">
        <f aca="false">IF(L43=1,N43,1-N43)</f>
        <v>0.568657089985338</v>
      </c>
      <c r="P43" s="6" t="n">
        <f aca="false">LN(O43)</f>
        <v>-0.564477680328929</v>
      </c>
      <c r="AD43" s="8" t="n">
        <f aca="false">B43</f>
        <v>54</v>
      </c>
      <c r="AE43" s="8" t="n">
        <f aca="false">C43</f>
        <v>70300</v>
      </c>
      <c r="AF43" s="8" t="n">
        <f aca="false">D43</f>
        <v>4</v>
      </c>
      <c r="AG43" s="9" t="n">
        <f aca="false">E43*0.85</f>
        <v>30.3025</v>
      </c>
      <c r="AH43" s="9" t="n">
        <f aca="false">F43*0.9</f>
        <v>3.6</v>
      </c>
      <c r="AI43" s="9" t="n">
        <f aca="false">G43</f>
        <v>0.59</v>
      </c>
      <c r="AJ43" s="9" t="n">
        <f aca="false">H43*1.2</f>
        <v>219.6</v>
      </c>
      <c r="AK43" s="8" t="n">
        <f aca="false">I43</f>
        <v>1</v>
      </c>
      <c r="AL43" s="8" t="n">
        <f aca="false">J43</f>
        <v>1</v>
      </c>
      <c r="AM43" s="9" t="n">
        <f aca="false">K43</f>
        <v>0.39</v>
      </c>
      <c r="AN43" s="6" t="n">
        <f aca="false">$R$2 + SUMPRODUCT(AD43:AM43,$S$2:$AB$2)</f>
        <v>-0.0526267574999997</v>
      </c>
      <c r="AO43" s="6" t="n">
        <f aca="false">1/(1+EXP(-AN43))</f>
        <v>0.486846346321405</v>
      </c>
    </row>
    <row r="44" customFormat="false" ht="15" hidden="false" customHeight="false" outlineLevel="0" collapsed="false">
      <c r="A44" s="3" t="s">
        <v>108</v>
      </c>
      <c r="B44" s="4" t="n">
        <v>68</v>
      </c>
      <c r="C44" s="4" t="n">
        <v>61400</v>
      </c>
      <c r="D44" s="4" t="n">
        <v>5</v>
      </c>
      <c r="E44" s="5" t="n">
        <v>60.05</v>
      </c>
      <c r="F44" s="4" t="n">
        <v>3</v>
      </c>
      <c r="G44" s="5" t="n">
        <v>0.51</v>
      </c>
      <c r="H44" s="4" t="n">
        <v>243</v>
      </c>
      <c r="I44" s="4" t="n">
        <v>0</v>
      </c>
      <c r="J44" s="4" t="n">
        <v>0</v>
      </c>
      <c r="K44" s="5" t="n">
        <v>0.47</v>
      </c>
      <c r="L44" s="4" t="n">
        <v>0</v>
      </c>
      <c r="M44" s="6" t="n">
        <f aca="false">$R$2 + SUMPRODUCT(B44:K44,$S$2:$AB$2)</f>
        <v>-1.43011063</v>
      </c>
      <c r="N44" s="6" t="n">
        <f aca="false">1/(1+EXP(-M44))</f>
        <v>0.193081447383109</v>
      </c>
      <c r="O44" s="6" t="n">
        <f aca="false">IF(L44=1,N44,1-N44)</f>
        <v>0.806918552616891</v>
      </c>
      <c r="P44" s="6" t="n">
        <f aca="false">LN(O44)</f>
        <v>-0.214532541930863</v>
      </c>
      <c r="AD44" s="8" t="n">
        <f aca="false">B44</f>
        <v>68</v>
      </c>
      <c r="AE44" s="8" t="n">
        <f aca="false">C44</f>
        <v>61400</v>
      </c>
      <c r="AF44" s="8" t="n">
        <f aca="false">D44</f>
        <v>5</v>
      </c>
      <c r="AG44" s="9" t="n">
        <f aca="false">E44*0.85</f>
        <v>51.0425</v>
      </c>
      <c r="AH44" s="9" t="n">
        <f aca="false">F44*0.9</f>
        <v>2.7</v>
      </c>
      <c r="AI44" s="9" t="n">
        <f aca="false">G44</f>
        <v>0.51</v>
      </c>
      <c r="AJ44" s="9" t="n">
        <f aca="false">H44*1.2</f>
        <v>291.6</v>
      </c>
      <c r="AK44" s="8" t="n">
        <f aca="false">I44</f>
        <v>0</v>
      </c>
      <c r="AL44" s="8" t="n">
        <f aca="false">J44</f>
        <v>0</v>
      </c>
      <c r="AM44" s="9" t="n">
        <f aca="false">K44</f>
        <v>0.47</v>
      </c>
      <c r="AN44" s="6" t="n">
        <f aca="false">$R$2 + SUMPRODUCT(AD44:AM44,$S$2:$AB$2)</f>
        <v>-1.8657660775</v>
      </c>
      <c r="AO44" s="6" t="n">
        <f aca="false">1/(1+EXP(-AN44))</f>
        <v>0.134032383193242</v>
      </c>
    </row>
    <row r="45" customFormat="false" ht="15" hidden="false" customHeight="false" outlineLevel="0" collapsed="false">
      <c r="A45" s="3" t="s">
        <v>109</v>
      </c>
      <c r="B45" s="4" t="n">
        <v>24</v>
      </c>
      <c r="C45" s="4" t="n">
        <v>42500</v>
      </c>
      <c r="D45" s="4" t="n">
        <v>7</v>
      </c>
      <c r="E45" s="5" t="n">
        <v>116.7</v>
      </c>
      <c r="F45" s="4" t="n">
        <v>5</v>
      </c>
      <c r="G45" s="5" t="n">
        <v>0.28</v>
      </c>
      <c r="H45" s="4" t="n">
        <v>185</v>
      </c>
      <c r="I45" s="4" t="n">
        <v>0</v>
      </c>
      <c r="J45" s="4" t="n">
        <v>0</v>
      </c>
      <c r="K45" s="5" t="n">
        <v>0.44</v>
      </c>
      <c r="L45" s="4" t="n">
        <v>0</v>
      </c>
      <c r="M45" s="6" t="n">
        <f aca="false">$R$2 + SUMPRODUCT(B45:K45,$S$2:$AB$2)</f>
        <v>-0.0663864999999992</v>
      </c>
      <c r="N45" s="6" t="n">
        <f aca="false">1/(1+EXP(-M45))</f>
        <v>0.483409467656908</v>
      </c>
      <c r="O45" s="6" t="n">
        <f aca="false">IF(L45=1,N45,1-N45)</f>
        <v>0.516590532343092</v>
      </c>
      <c r="P45" s="6" t="n">
        <f aca="false">LN(O45)</f>
        <v>-0.660504725350334</v>
      </c>
      <c r="AD45" s="8" t="n">
        <f aca="false">B45</f>
        <v>24</v>
      </c>
      <c r="AE45" s="8" t="n">
        <f aca="false">C45</f>
        <v>42500</v>
      </c>
      <c r="AF45" s="8" t="n">
        <f aca="false">D45</f>
        <v>7</v>
      </c>
      <c r="AG45" s="9" t="n">
        <f aca="false">E45*0.85</f>
        <v>99.195</v>
      </c>
      <c r="AH45" s="9" t="n">
        <f aca="false">F45*0.9</f>
        <v>4.5</v>
      </c>
      <c r="AI45" s="9" t="n">
        <f aca="false">G45</f>
        <v>0.28</v>
      </c>
      <c r="AJ45" s="9" t="n">
        <f aca="false">H45*1.2</f>
        <v>222</v>
      </c>
      <c r="AK45" s="8" t="n">
        <f aca="false">I45</f>
        <v>0</v>
      </c>
      <c r="AL45" s="8" t="n">
        <f aca="false">J45</f>
        <v>0</v>
      </c>
      <c r="AM45" s="9" t="n">
        <f aca="false">K45</f>
        <v>0.44</v>
      </c>
      <c r="AN45" s="6" t="n">
        <f aca="false">$R$2 + SUMPRODUCT(AD45:AM45,$S$2:$AB$2)</f>
        <v>-0.572608665</v>
      </c>
      <c r="AO45" s="6" t="n">
        <f aca="false">1/(1+EXP(-AN45))</f>
        <v>0.360635107171441</v>
      </c>
    </row>
    <row r="46" customFormat="false" ht="15" hidden="false" customHeight="false" outlineLevel="0" collapsed="false">
      <c r="A46" s="3" t="s">
        <v>110</v>
      </c>
      <c r="B46" s="4" t="n">
        <v>38</v>
      </c>
      <c r="C46" s="4" t="n">
        <v>71200</v>
      </c>
      <c r="D46" s="4" t="n">
        <v>4</v>
      </c>
      <c r="E46" s="5" t="n">
        <v>19.21</v>
      </c>
      <c r="F46" s="4" t="n">
        <v>5</v>
      </c>
      <c r="G46" s="5" t="n">
        <v>0.46</v>
      </c>
      <c r="H46" s="4" t="n">
        <v>220</v>
      </c>
      <c r="I46" s="4" t="n">
        <v>1</v>
      </c>
      <c r="J46" s="4" t="n">
        <v>1</v>
      </c>
      <c r="K46" s="5" t="n">
        <v>0.24</v>
      </c>
      <c r="L46" s="4" t="n">
        <v>0</v>
      </c>
      <c r="M46" s="6" t="n">
        <f aca="false">$R$2 + SUMPRODUCT(B46:K46,$S$2:$AB$2)</f>
        <v>-0.22188749</v>
      </c>
      <c r="N46" s="6" t="n">
        <f aca="false">1/(1+EXP(-M46))</f>
        <v>0.444754604643114</v>
      </c>
      <c r="O46" s="6" t="n">
        <f aca="false">IF(L46=1,N46,1-N46)</f>
        <v>0.555245395356887</v>
      </c>
      <c r="P46" s="6" t="n">
        <f aca="false">LN(O46)</f>
        <v>-0.588345109160696</v>
      </c>
      <c r="AD46" s="8" t="n">
        <f aca="false">B46</f>
        <v>38</v>
      </c>
      <c r="AE46" s="8" t="n">
        <f aca="false">C46</f>
        <v>71200</v>
      </c>
      <c r="AF46" s="8" t="n">
        <f aca="false">D46</f>
        <v>4</v>
      </c>
      <c r="AG46" s="9" t="n">
        <f aca="false">E46*0.85</f>
        <v>16.3285</v>
      </c>
      <c r="AH46" s="9" t="n">
        <f aca="false">F46*0.9</f>
        <v>4.5</v>
      </c>
      <c r="AI46" s="9" t="n">
        <f aca="false">G46</f>
        <v>0.46</v>
      </c>
      <c r="AJ46" s="9" t="n">
        <f aca="false">H46*1.2</f>
        <v>264</v>
      </c>
      <c r="AK46" s="8" t="n">
        <f aca="false">I46</f>
        <v>1</v>
      </c>
      <c r="AL46" s="8" t="n">
        <f aca="false">J46</f>
        <v>1</v>
      </c>
      <c r="AM46" s="9" t="n">
        <f aca="false">K46</f>
        <v>0.24</v>
      </c>
      <c r="AN46" s="6" t="n">
        <f aca="false">$R$2 + SUMPRODUCT(AD46:AM46,$S$2:$AB$2)</f>
        <v>-0.5719781795</v>
      </c>
      <c r="AO46" s="6" t="n">
        <f aca="false">1/(1+EXP(-AN46))</f>
        <v>0.360780495665683</v>
      </c>
    </row>
    <row r="47" customFormat="false" ht="15" hidden="false" customHeight="false" outlineLevel="0" collapsed="false">
      <c r="A47" s="3" t="s">
        <v>111</v>
      </c>
      <c r="B47" s="4" t="n">
        <v>26</v>
      </c>
      <c r="C47" s="4" t="n">
        <v>60500</v>
      </c>
      <c r="D47" s="4" t="n">
        <v>3</v>
      </c>
      <c r="E47" s="5" t="n">
        <v>38.72</v>
      </c>
      <c r="F47" s="4" t="n">
        <v>2</v>
      </c>
      <c r="G47" s="5" t="n">
        <v>0.33</v>
      </c>
      <c r="H47" s="4" t="n">
        <v>71</v>
      </c>
      <c r="I47" s="4" t="n">
        <v>0</v>
      </c>
      <c r="J47" s="4" t="n">
        <v>0</v>
      </c>
      <c r="K47" s="5" t="n">
        <v>0.66</v>
      </c>
      <c r="L47" s="4" t="n">
        <v>0</v>
      </c>
      <c r="M47" s="6" t="n">
        <f aca="false">$R$2 + SUMPRODUCT(B47:K47,$S$2:$AB$2)</f>
        <v>-0.83747403</v>
      </c>
      <c r="N47" s="6" t="n">
        <f aca="false">1/(1+EXP(-M47))</f>
        <v>0.302067049025309</v>
      </c>
      <c r="O47" s="6" t="n">
        <f aca="false">IF(L47=1,N47,1-N47)</f>
        <v>0.697932950974691</v>
      </c>
      <c r="P47" s="6" t="n">
        <f aca="false">LN(O47)</f>
        <v>-0.359632239609219</v>
      </c>
      <c r="AD47" s="8" t="n">
        <f aca="false">B47</f>
        <v>26</v>
      </c>
      <c r="AE47" s="8" t="n">
        <f aca="false">C47</f>
        <v>60500</v>
      </c>
      <c r="AF47" s="8" t="n">
        <f aca="false">D47</f>
        <v>3</v>
      </c>
      <c r="AG47" s="9" t="n">
        <f aca="false">E47*0.85</f>
        <v>32.912</v>
      </c>
      <c r="AH47" s="9" t="n">
        <f aca="false">F47*0.9</f>
        <v>1.8</v>
      </c>
      <c r="AI47" s="9" t="n">
        <f aca="false">G47</f>
        <v>0.33</v>
      </c>
      <c r="AJ47" s="9" t="n">
        <f aca="false">H47*1.2</f>
        <v>85.2</v>
      </c>
      <c r="AK47" s="8" t="n">
        <f aca="false">I47</f>
        <v>0</v>
      </c>
      <c r="AL47" s="8" t="n">
        <f aca="false">J47</f>
        <v>0</v>
      </c>
      <c r="AM47" s="9" t="n">
        <f aca="false">K47</f>
        <v>0.66</v>
      </c>
      <c r="AN47" s="6" t="n">
        <f aca="false">$R$2 + SUMPRODUCT(AD47:AM47,$S$2:$AB$2)</f>
        <v>-1.020469094</v>
      </c>
      <c r="AO47" s="6" t="n">
        <f aca="false">1/(1+EXP(-AN47))</f>
        <v>0.264936036781049</v>
      </c>
    </row>
    <row r="48" customFormat="false" ht="15" hidden="false" customHeight="false" outlineLevel="0" collapsed="false">
      <c r="A48" s="3" t="s">
        <v>112</v>
      </c>
      <c r="B48" s="4" t="n">
        <v>56</v>
      </c>
      <c r="C48" s="4" t="n">
        <v>69600</v>
      </c>
      <c r="D48" s="4" t="n">
        <v>4</v>
      </c>
      <c r="E48" s="5" t="n">
        <v>102.44</v>
      </c>
      <c r="F48" s="4" t="n">
        <v>3</v>
      </c>
      <c r="G48" s="5" t="n">
        <v>0.27</v>
      </c>
      <c r="H48" s="4" t="n">
        <v>342</v>
      </c>
      <c r="I48" s="4" t="n">
        <v>0</v>
      </c>
      <c r="J48" s="4" t="n">
        <v>1</v>
      </c>
      <c r="K48" s="5" t="n">
        <v>0.1</v>
      </c>
      <c r="L48" s="4" t="n">
        <v>0</v>
      </c>
      <c r="M48" s="6" t="n">
        <f aca="false">$R$2 + SUMPRODUCT(B48:K48,$S$2:$AB$2)</f>
        <v>-1.48127801</v>
      </c>
      <c r="N48" s="6" t="n">
        <f aca="false">1/(1+EXP(-M48))</f>
        <v>0.185234461034321</v>
      </c>
      <c r="O48" s="6" t="n">
        <f aca="false">IF(L48=1,N48,1-N48)</f>
        <v>0.814765538965679</v>
      </c>
      <c r="P48" s="6" t="n">
        <f aca="false">LN(O48)</f>
        <v>-0.204854889380451</v>
      </c>
      <c r="AD48" s="8" t="n">
        <f aca="false">B48</f>
        <v>56</v>
      </c>
      <c r="AE48" s="8" t="n">
        <f aca="false">C48</f>
        <v>69600</v>
      </c>
      <c r="AF48" s="8" t="n">
        <f aca="false">D48</f>
        <v>4</v>
      </c>
      <c r="AG48" s="9" t="n">
        <f aca="false">E48*0.85</f>
        <v>87.074</v>
      </c>
      <c r="AH48" s="9" t="n">
        <f aca="false">F48*0.9</f>
        <v>2.7</v>
      </c>
      <c r="AI48" s="9" t="n">
        <f aca="false">G48</f>
        <v>0.27</v>
      </c>
      <c r="AJ48" s="9" t="n">
        <f aca="false">H48*1.2</f>
        <v>410.4</v>
      </c>
      <c r="AK48" s="8" t="n">
        <f aca="false">I48</f>
        <v>0</v>
      </c>
      <c r="AL48" s="8" t="n">
        <f aca="false">J48</f>
        <v>1</v>
      </c>
      <c r="AM48" s="9" t="n">
        <f aca="false">K48</f>
        <v>0.1</v>
      </c>
      <c r="AN48" s="6" t="n">
        <f aca="false">$R$2 + SUMPRODUCT(AD48:AM48,$S$2:$AB$2)</f>
        <v>-2.116355588</v>
      </c>
      <c r="AO48" s="6" t="n">
        <f aca="false">1/(1+EXP(-AN48))</f>
        <v>0.107517278588086</v>
      </c>
    </row>
    <row r="49" customFormat="false" ht="15" hidden="false" customHeight="false" outlineLevel="0" collapsed="false">
      <c r="A49" s="3" t="s">
        <v>113</v>
      </c>
      <c r="B49" s="4" t="n">
        <v>35</v>
      </c>
      <c r="C49" s="4" t="n">
        <v>66300</v>
      </c>
      <c r="D49" s="4" t="n">
        <v>4</v>
      </c>
      <c r="E49" s="5" t="n">
        <v>111.44</v>
      </c>
      <c r="F49" s="4" t="n">
        <v>5</v>
      </c>
      <c r="G49" s="5" t="n">
        <v>0.4</v>
      </c>
      <c r="H49" s="4" t="n">
        <v>154</v>
      </c>
      <c r="I49" s="4" t="n">
        <v>0</v>
      </c>
      <c r="J49" s="4" t="n">
        <v>1</v>
      </c>
      <c r="K49" s="5" t="n">
        <v>0.15</v>
      </c>
      <c r="L49" s="4" t="n">
        <v>0</v>
      </c>
      <c r="M49" s="6" t="n">
        <f aca="false">$R$2 + SUMPRODUCT(B49:K49,$S$2:$AB$2)</f>
        <v>0.39217287</v>
      </c>
      <c r="N49" s="6" t="n">
        <f aca="false">1/(1+EXP(-M49))</f>
        <v>0.596805663898528</v>
      </c>
      <c r="O49" s="6" t="n">
        <f aca="false">IF(L49=1,N49,1-N49)</f>
        <v>0.403194336101472</v>
      </c>
      <c r="P49" s="6" t="n">
        <f aca="false">LN(O49)</f>
        <v>-0.908336609691025</v>
      </c>
      <c r="AD49" s="8" t="n">
        <f aca="false">B49</f>
        <v>35</v>
      </c>
      <c r="AE49" s="8" t="n">
        <f aca="false">C49</f>
        <v>66300</v>
      </c>
      <c r="AF49" s="8" t="n">
        <f aca="false">D49</f>
        <v>4</v>
      </c>
      <c r="AG49" s="9" t="n">
        <f aca="false">E49*0.85</f>
        <v>94.724</v>
      </c>
      <c r="AH49" s="9" t="n">
        <f aca="false">F49*0.9</f>
        <v>4.5</v>
      </c>
      <c r="AI49" s="9" t="n">
        <f aca="false">G49</f>
        <v>0.4</v>
      </c>
      <c r="AJ49" s="9" t="n">
        <f aca="false">H49*1.2</f>
        <v>184.8</v>
      </c>
      <c r="AK49" s="8" t="n">
        <f aca="false">I49</f>
        <v>0</v>
      </c>
      <c r="AL49" s="8" t="n">
        <f aca="false">J49</f>
        <v>1</v>
      </c>
      <c r="AM49" s="9" t="n">
        <f aca="false">K49</f>
        <v>0.15</v>
      </c>
      <c r="AN49" s="6" t="n">
        <f aca="false">$R$2 + SUMPRODUCT(AD49:AM49,$S$2:$AB$2)</f>
        <v>-0.0677510579999998</v>
      </c>
      <c r="AO49" s="6" t="n">
        <f aca="false">1/(1+EXP(-AN49))</f>
        <v>0.483068711512882</v>
      </c>
    </row>
    <row r="50" customFormat="false" ht="15" hidden="false" customHeight="false" outlineLevel="0" collapsed="false">
      <c r="A50" s="3" t="s">
        <v>114</v>
      </c>
      <c r="B50" s="4" t="n">
        <v>21</v>
      </c>
      <c r="C50" s="4" t="n">
        <v>40100</v>
      </c>
      <c r="D50" s="4" t="n">
        <v>9</v>
      </c>
      <c r="E50" s="5" t="n">
        <v>62.41</v>
      </c>
      <c r="F50" s="4" t="n">
        <v>4</v>
      </c>
      <c r="G50" s="5" t="n">
        <v>0.29</v>
      </c>
      <c r="H50" s="4" t="n">
        <v>245</v>
      </c>
      <c r="I50" s="4" t="n">
        <v>1</v>
      </c>
      <c r="J50" s="4" t="n">
        <v>0</v>
      </c>
      <c r="K50" s="5" t="n">
        <v>0.49</v>
      </c>
      <c r="L50" s="4" t="n">
        <v>1</v>
      </c>
      <c r="M50" s="6" t="n">
        <f aca="false">$R$2 + SUMPRODUCT(B50:K50,$S$2:$AB$2)</f>
        <v>-0.10116871</v>
      </c>
      <c r="N50" s="6" t="n">
        <f aca="false">1/(1+EXP(-M50))</f>
        <v>0.474729372790423</v>
      </c>
      <c r="O50" s="6" t="n">
        <f aca="false">IF(L50=1,N50,1-N50)</f>
        <v>0.474729372790423</v>
      </c>
      <c r="P50" s="6" t="n">
        <f aca="false">LN(O50)</f>
        <v>-0.7450103788057</v>
      </c>
      <c r="AD50" s="8" t="n">
        <f aca="false">B50</f>
        <v>21</v>
      </c>
      <c r="AE50" s="8" t="n">
        <f aca="false">C50</f>
        <v>40100</v>
      </c>
      <c r="AF50" s="8" t="n">
        <f aca="false">D50</f>
        <v>9</v>
      </c>
      <c r="AG50" s="9" t="n">
        <f aca="false">E50*0.85</f>
        <v>53.0485</v>
      </c>
      <c r="AH50" s="9" t="n">
        <f aca="false">F50*0.9</f>
        <v>3.6</v>
      </c>
      <c r="AI50" s="9" t="n">
        <f aca="false">G50</f>
        <v>0.29</v>
      </c>
      <c r="AJ50" s="9" t="n">
        <f aca="false">H50*1.2</f>
        <v>294</v>
      </c>
      <c r="AK50" s="8" t="n">
        <f aca="false">I50</f>
        <v>1</v>
      </c>
      <c r="AL50" s="8" t="n">
        <f aca="false">J50</f>
        <v>0</v>
      </c>
      <c r="AM50" s="9" t="n">
        <f aca="false">K50</f>
        <v>0.49</v>
      </c>
      <c r="AN50" s="6" t="n">
        <f aca="false">$R$2 + SUMPRODUCT(AD50:AM50,$S$2:$AB$2)</f>
        <v>-0.5554889395</v>
      </c>
      <c r="AO50" s="6" t="n">
        <f aca="false">1/(1+EXP(-AN50))</f>
        <v>0.364591873186902</v>
      </c>
    </row>
    <row r="51" customFormat="false" ht="15" hidden="false" customHeight="false" outlineLevel="0" collapsed="false">
      <c r="A51" s="3" t="s">
        <v>115</v>
      </c>
      <c r="B51" s="4" t="n">
        <v>42</v>
      </c>
      <c r="C51" s="4" t="n">
        <v>44900</v>
      </c>
      <c r="D51" s="4" t="n">
        <v>6</v>
      </c>
      <c r="E51" s="5" t="n">
        <v>34.02</v>
      </c>
      <c r="F51" s="4" t="n">
        <v>3</v>
      </c>
      <c r="G51" s="5" t="n">
        <v>0.13</v>
      </c>
      <c r="H51" s="4" t="n">
        <v>140</v>
      </c>
      <c r="I51" s="4" t="n">
        <v>1</v>
      </c>
      <c r="J51" s="4" t="n">
        <v>1</v>
      </c>
      <c r="K51" s="5" t="n">
        <v>0.27</v>
      </c>
      <c r="L51" s="4" t="n">
        <v>0</v>
      </c>
      <c r="M51" s="6" t="n">
        <f aca="false">$R$2 + SUMPRODUCT(B51:K51,$S$2:$AB$2)</f>
        <v>-0.5782332</v>
      </c>
      <c r="N51" s="6" t="n">
        <f aca="false">1/(1+EXP(-M51))</f>
        <v>0.359339235566775</v>
      </c>
      <c r="O51" s="6" t="n">
        <f aca="false">IF(L51=1,N51,1-N51)</f>
        <v>0.640660764433225</v>
      </c>
      <c r="P51" s="6" t="n">
        <f aca="false">LN(O51)</f>
        <v>-0.445255190805695</v>
      </c>
      <c r="AD51" s="8" t="n">
        <f aca="false">B51</f>
        <v>42</v>
      </c>
      <c r="AE51" s="8" t="n">
        <f aca="false">C51</f>
        <v>44900</v>
      </c>
      <c r="AF51" s="8" t="n">
        <f aca="false">D51</f>
        <v>6</v>
      </c>
      <c r="AG51" s="9" t="n">
        <f aca="false">E51*0.85</f>
        <v>28.917</v>
      </c>
      <c r="AH51" s="9" t="n">
        <f aca="false">F51*0.9</f>
        <v>2.7</v>
      </c>
      <c r="AI51" s="9" t="n">
        <f aca="false">G51</f>
        <v>0.13</v>
      </c>
      <c r="AJ51" s="9" t="n">
        <f aca="false">H51*1.2</f>
        <v>168</v>
      </c>
      <c r="AK51" s="8" t="n">
        <f aca="false">I51</f>
        <v>1</v>
      </c>
      <c r="AL51" s="8" t="n">
        <f aca="false">J51</f>
        <v>1</v>
      </c>
      <c r="AM51" s="9" t="n">
        <f aca="false">K51</f>
        <v>0.27</v>
      </c>
      <c r="AN51" s="6" t="n">
        <f aca="false">$R$2 + SUMPRODUCT(AD51:AM51,$S$2:$AB$2)</f>
        <v>-0.842824699</v>
      </c>
      <c r="AO51" s="6" t="n">
        <f aca="false">1/(1+EXP(-AN51))</f>
        <v>0.300940203459952</v>
      </c>
    </row>
    <row r="52" customFormat="false" ht="15" hidden="false" customHeight="false" outlineLevel="0" collapsed="false">
      <c r="A52" s="3" t="s">
        <v>116</v>
      </c>
      <c r="B52" s="4" t="n">
        <v>31</v>
      </c>
      <c r="C52" s="4" t="n">
        <v>68500</v>
      </c>
      <c r="D52" s="4" t="n">
        <v>5</v>
      </c>
      <c r="E52" s="5" t="n">
        <v>117.4</v>
      </c>
      <c r="F52" s="4" t="n">
        <v>1</v>
      </c>
      <c r="G52" s="5" t="n">
        <v>0.68</v>
      </c>
      <c r="H52" s="4" t="n">
        <v>71</v>
      </c>
      <c r="I52" s="4" t="n">
        <v>1</v>
      </c>
      <c r="J52" s="4" t="n">
        <v>0</v>
      </c>
      <c r="K52" s="5" t="n">
        <v>0.17</v>
      </c>
      <c r="L52" s="4" t="n">
        <v>1</v>
      </c>
      <c r="M52" s="6" t="n">
        <f aca="false">$R$2 + SUMPRODUCT(B52:K52,$S$2:$AB$2)</f>
        <v>1.35246009</v>
      </c>
      <c r="N52" s="6" t="n">
        <f aca="false">1/(1+EXP(-M52))</f>
        <v>0.794531531792767</v>
      </c>
      <c r="O52" s="6" t="n">
        <f aca="false">IF(L52=1,N52,1-N52)</f>
        <v>0.794531531792767</v>
      </c>
      <c r="P52" s="6" t="n">
        <f aca="false">LN(O52)</f>
        <v>-0.230002606199736</v>
      </c>
      <c r="AD52" s="8" t="n">
        <f aca="false">B52</f>
        <v>31</v>
      </c>
      <c r="AE52" s="8" t="n">
        <f aca="false">C52</f>
        <v>68500</v>
      </c>
      <c r="AF52" s="8" t="n">
        <f aca="false">D52</f>
        <v>5</v>
      </c>
      <c r="AG52" s="9" t="n">
        <f aca="false">E52*0.85</f>
        <v>99.79</v>
      </c>
      <c r="AH52" s="9" t="n">
        <f aca="false">F52*0.9</f>
        <v>0.9</v>
      </c>
      <c r="AI52" s="9" t="n">
        <f aca="false">G52</f>
        <v>0.68</v>
      </c>
      <c r="AJ52" s="9" t="n">
        <f aca="false">H52*1.2</f>
        <v>85.2</v>
      </c>
      <c r="AK52" s="8" t="n">
        <f aca="false">I52</f>
        <v>1</v>
      </c>
      <c r="AL52" s="8" t="n">
        <f aca="false">J52</f>
        <v>0</v>
      </c>
      <c r="AM52" s="9" t="n">
        <f aca="false">K52</f>
        <v>0.17</v>
      </c>
      <c r="AN52" s="6" t="n">
        <f aca="false">$R$2 + SUMPRODUCT(AD52:AM52,$S$2:$AB$2)</f>
        <v>1.02253506</v>
      </c>
      <c r="AO52" s="6" t="n">
        <f aca="false">1/(1+EXP(-AN52))</f>
        <v>0.735466104193179</v>
      </c>
    </row>
    <row r="53" customFormat="false" ht="15" hidden="false" customHeight="false" outlineLevel="0" collapsed="false">
      <c r="A53" s="3" t="s">
        <v>117</v>
      </c>
      <c r="B53" s="4" t="n">
        <v>67</v>
      </c>
      <c r="C53" s="4" t="n">
        <v>66000</v>
      </c>
      <c r="D53" s="4" t="n">
        <v>10</v>
      </c>
      <c r="E53" s="5" t="n">
        <v>104.86</v>
      </c>
      <c r="F53" s="4" t="n">
        <v>4</v>
      </c>
      <c r="G53" s="5" t="n">
        <v>0.59</v>
      </c>
      <c r="H53" s="4" t="n">
        <v>46</v>
      </c>
      <c r="I53" s="4" t="n">
        <v>0</v>
      </c>
      <c r="J53" s="4" t="n">
        <v>1</v>
      </c>
      <c r="K53" s="5" t="n">
        <v>0.29</v>
      </c>
      <c r="L53" s="4" t="n">
        <v>1</v>
      </c>
      <c r="M53" s="6" t="n">
        <f aca="false">$R$2 + SUMPRODUCT(B53:K53,$S$2:$AB$2)</f>
        <v>2.04107484</v>
      </c>
      <c r="N53" s="6" t="n">
        <f aca="false">1/(1+EXP(-M53))</f>
        <v>0.885042669745281</v>
      </c>
      <c r="O53" s="6" t="n">
        <f aca="false">IF(L53=1,N53,1-N53)</f>
        <v>0.885042669745281</v>
      </c>
      <c r="P53" s="6" t="n">
        <f aca="false">LN(O53)</f>
        <v>-0.122119420735038</v>
      </c>
      <c r="AD53" s="8" t="n">
        <f aca="false">B53</f>
        <v>67</v>
      </c>
      <c r="AE53" s="8" t="n">
        <f aca="false">C53</f>
        <v>66000</v>
      </c>
      <c r="AF53" s="8" t="n">
        <f aca="false">D53</f>
        <v>10</v>
      </c>
      <c r="AG53" s="9" t="n">
        <f aca="false">E53*0.85</f>
        <v>89.131</v>
      </c>
      <c r="AH53" s="9" t="n">
        <f aca="false">F53*0.9</f>
        <v>3.6</v>
      </c>
      <c r="AI53" s="9" t="n">
        <f aca="false">G53</f>
        <v>0.59</v>
      </c>
      <c r="AJ53" s="9" t="n">
        <f aca="false">H53*1.2</f>
        <v>55.2</v>
      </c>
      <c r="AK53" s="8" t="n">
        <f aca="false">I53</f>
        <v>0</v>
      </c>
      <c r="AL53" s="8" t="n">
        <f aca="false">J53</f>
        <v>1</v>
      </c>
      <c r="AM53" s="9" t="n">
        <f aca="false">K53</f>
        <v>0.29</v>
      </c>
      <c r="AN53" s="6" t="n">
        <f aca="false">$R$2 + SUMPRODUCT(AD53:AM53,$S$2:$AB$2)</f>
        <v>1.730388383</v>
      </c>
      <c r="AO53" s="6" t="n">
        <f aca="false">1/(1+EXP(-AN53))</f>
        <v>0.849462091955392</v>
      </c>
    </row>
    <row r="54" customFormat="false" ht="15" hidden="false" customHeight="false" outlineLevel="0" collapsed="false">
      <c r="A54" s="3" t="s">
        <v>118</v>
      </c>
      <c r="B54" s="4" t="n">
        <v>26</v>
      </c>
      <c r="C54" s="4" t="n">
        <v>54600</v>
      </c>
      <c r="D54" s="4" t="n">
        <v>2</v>
      </c>
      <c r="E54" s="5" t="n">
        <v>81.97</v>
      </c>
      <c r="F54" s="4" t="n">
        <v>2</v>
      </c>
      <c r="G54" s="5" t="n">
        <v>0.47</v>
      </c>
      <c r="H54" s="4" t="n">
        <v>47</v>
      </c>
      <c r="I54" s="4" t="n">
        <v>1</v>
      </c>
      <c r="J54" s="4" t="n">
        <v>0</v>
      </c>
      <c r="K54" s="5" t="n">
        <v>0.41</v>
      </c>
      <c r="L54" s="4" t="n">
        <v>1</v>
      </c>
      <c r="M54" s="6" t="n">
        <f aca="false">$R$2 + SUMPRODUCT(B54:K54,$S$2:$AB$2)</f>
        <v>0.228414910000001</v>
      </c>
      <c r="N54" s="6" t="n">
        <f aca="false">1/(1+EXP(-M54))</f>
        <v>0.556856741531847</v>
      </c>
      <c r="O54" s="6" t="n">
        <f aca="false">IF(L54=1,N54,1-N54)</f>
        <v>0.556856741531847</v>
      </c>
      <c r="P54" s="6" t="n">
        <f aca="false">LN(O54)</f>
        <v>-0.585447268667246</v>
      </c>
      <c r="AD54" s="8" t="n">
        <f aca="false">B54</f>
        <v>26</v>
      </c>
      <c r="AE54" s="8" t="n">
        <f aca="false">C54</f>
        <v>54600</v>
      </c>
      <c r="AF54" s="8" t="n">
        <f aca="false">D54</f>
        <v>2</v>
      </c>
      <c r="AG54" s="9" t="n">
        <f aca="false">E54*0.85</f>
        <v>69.6745</v>
      </c>
      <c r="AH54" s="9" t="n">
        <f aca="false">F54*0.9</f>
        <v>1.8</v>
      </c>
      <c r="AI54" s="9" t="n">
        <f aca="false">G54</f>
        <v>0.47</v>
      </c>
      <c r="AJ54" s="9" t="n">
        <f aca="false">H54*1.2</f>
        <v>56.4</v>
      </c>
      <c r="AK54" s="8" t="n">
        <f aca="false">I54</f>
        <v>1</v>
      </c>
      <c r="AL54" s="8" t="n">
        <f aca="false">J54</f>
        <v>0</v>
      </c>
      <c r="AM54" s="9" t="n">
        <f aca="false">K54</f>
        <v>0.41</v>
      </c>
      <c r="AN54" s="6" t="n">
        <f aca="false">$R$2 + SUMPRODUCT(AD54:AM54,$S$2:$AB$2)</f>
        <v>-0.0140883414999999</v>
      </c>
      <c r="AO54" s="6" t="n">
        <f aca="false">1/(1+EXP(-AN54))</f>
        <v>0.496477972879537</v>
      </c>
    </row>
    <row r="55" customFormat="false" ht="15" hidden="false" customHeight="false" outlineLevel="0" collapsed="false">
      <c r="A55" s="3" t="s">
        <v>119</v>
      </c>
      <c r="B55" s="4" t="n">
        <v>43</v>
      </c>
      <c r="C55" s="4" t="n">
        <v>57100</v>
      </c>
      <c r="D55" s="4" t="n">
        <v>9</v>
      </c>
      <c r="E55" s="5" t="n">
        <v>44.69</v>
      </c>
      <c r="F55" s="4" t="n">
        <v>8</v>
      </c>
      <c r="G55" s="5" t="n">
        <v>0.1</v>
      </c>
      <c r="H55" s="4" t="n">
        <v>79</v>
      </c>
      <c r="I55" s="4" t="n">
        <v>1</v>
      </c>
      <c r="J55" s="4" t="n">
        <v>1</v>
      </c>
      <c r="K55" s="5" t="n">
        <v>0.13</v>
      </c>
      <c r="L55" s="4" t="n">
        <v>1</v>
      </c>
      <c r="M55" s="6" t="n">
        <f aca="false">$R$2 + SUMPRODUCT(B55:K55,$S$2:$AB$2)</f>
        <v>1.12365316</v>
      </c>
      <c r="N55" s="6" t="n">
        <f aca="false">1/(1+EXP(-M55))</f>
        <v>0.754665711207772</v>
      </c>
      <c r="O55" s="6" t="n">
        <f aca="false">IF(L55=1,N55,1-N55)</f>
        <v>0.754665711207772</v>
      </c>
      <c r="P55" s="6" t="n">
        <f aca="false">LN(O55)</f>
        <v>-0.281480394395415</v>
      </c>
      <c r="AD55" s="8" t="n">
        <f aca="false">B55</f>
        <v>43</v>
      </c>
      <c r="AE55" s="8" t="n">
        <f aca="false">C55</f>
        <v>57100</v>
      </c>
      <c r="AF55" s="8" t="n">
        <f aca="false">D55</f>
        <v>9</v>
      </c>
      <c r="AG55" s="9" t="n">
        <f aca="false">E55*0.85</f>
        <v>37.9865</v>
      </c>
      <c r="AH55" s="9" t="n">
        <f aca="false">F55*0.9</f>
        <v>7.2</v>
      </c>
      <c r="AI55" s="9" t="n">
        <f aca="false">G55</f>
        <v>0.1</v>
      </c>
      <c r="AJ55" s="9" t="n">
        <f aca="false">H55*1.2</f>
        <v>94.8</v>
      </c>
      <c r="AK55" s="8" t="n">
        <f aca="false">I55</f>
        <v>1</v>
      </c>
      <c r="AL55" s="8" t="n">
        <f aca="false">J55</f>
        <v>1</v>
      </c>
      <c r="AM55" s="9" t="n">
        <f aca="false">K55</f>
        <v>0.13</v>
      </c>
      <c r="AN55" s="6" t="n">
        <f aca="false">$R$2 + SUMPRODUCT(AD55:AM55,$S$2:$AB$2)</f>
        <v>0.8497782445</v>
      </c>
      <c r="AO55" s="6" t="n">
        <f aca="false">1/(1+EXP(-AN55))</f>
        <v>0.700520622128197</v>
      </c>
    </row>
    <row r="56" customFormat="false" ht="15" hidden="false" customHeight="false" outlineLevel="0" collapsed="false">
      <c r="A56" s="3" t="s">
        <v>120</v>
      </c>
      <c r="B56" s="4" t="n">
        <v>19</v>
      </c>
      <c r="C56" s="4" t="n">
        <v>78000</v>
      </c>
      <c r="D56" s="4" t="n">
        <v>11</v>
      </c>
      <c r="E56" s="5" t="n">
        <v>63.77</v>
      </c>
      <c r="F56" s="4" t="n">
        <v>7</v>
      </c>
      <c r="G56" s="5" t="n">
        <v>0.72</v>
      </c>
      <c r="H56" s="4" t="n">
        <v>149</v>
      </c>
      <c r="I56" s="4" t="n">
        <v>0</v>
      </c>
      <c r="J56" s="4" t="n">
        <v>0</v>
      </c>
      <c r="K56" s="5" t="n">
        <v>0.44</v>
      </c>
      <c r="L56" s="4" t="n">
        <v>1</v>
      </c>
      <c r="M56" s="6" t="n">
        <f aca="false">$R$2 + SUMPRODUCT(B56:K56,$S$2:$AB$2)</f>
        <v>2.01885705</v>
      </c>
      <c r="N56" s="6" t="n">
        <f aca="false">1/(1+EXP(-M56))</f>
        <v>0.882762773927988</v>
      </c>
      <c r="O56" s="6" t="n">
        <f aca="false">IF(L56=1,N56,1-N56)</f>
        <v>0.882762773927988</v>
      </c>
      <c r="P56" s="6" t="n">
        <f aca="false">LN(O56)</f>
        <v>-0.124698773671726</v>
      </c>
      <c r="AD56" s="8" t="n">
        <f aca="false">B56</f>
        <v>19</v>
      </c>
      <c r="AE56" s="8" t="n">
        <f aca="false">C56</f>
        <v>78000</v>
      </c>
      <c r="AF56" s="8" t="n">
        <f aca="false">D56</f>
        <v>11</v>
      </c>
      <c r="AG56" s="9" t="n">
        <f aca="false">E56*0.85</f>
        <v>54.2045</v>
      </c>
      <c r="AH56" s="9" t="n">
        <f aca="false">F56*0.9</f>
        <v>6.3</v>
      </c>
      <c r="AI56" s="9" t="n">
        <f aca="false">G56</f>
        <v>0.72</v>
      </c>
      <c r="AJ56" s="9" t="n">
        <f aca="false">H56*1.2</f>
        <v>178.8</v>
      </c>
      <c r="AK56" s="8" t="n">
        <f aca="false">I56</f>
        <v>0</v>
      </c>
      <c r="AL56" s="8" t="n">
        <f aca="false">J56</f>
        <v>0</v>
      </c>
      <c r="AM56" s="9" t="n">
        <f aca="false">K56</f>
        <v>0.44</v>
      </c>
      <c r="AN56" s="6" t="n">
        <f aca="false">$R$2 + SUMPRODUCT(AD56:AM56,$S$2:$AB$2)</f>
        <v>1.6375311885</v>
      </c>
      <c r="AO56" s="6" t="n">
        <f aca="false">1/(1+EXP(-AN56))</f>
        <v>0.837198725830868</v>
      </c>
    </row>
    <row r="57" customFormat="false" ht="15" hidden="false" customHeight="false" outlineLevel="0" collapsed="false">
      <c r="A57" s="3" t="s">
        <v>121</v>
      </c>
      <c r="B57" s="4" t="n">
        <v>37</v>
      </c>
      <c r="C57" s="4" t="n">
        <v>44400</v>
      </c>
      <c r="D57" s="4" t="n">
        <v>7</v>
      </c>
      <c r="E57" s="5" t="n">
        <v>60.99</v>
      </c>
      <c r="F57" s="4" t="n">
        <v>5</v>
      </c>
      <c r="G57" s="5" t="n">
        <v>0.5</v>
      </c>
      <c r="H57" s="4" t="n">
        <v>130</v>
      </c>
      <c r="I57" s="4" t="n">
        <v>0</v>
      </c>
      <c r="J57" s="4" t="n">
        <v>0</v>
      </c>
      <c r="K57" s="5" t="n">
        <v>0.47</v>
      </c>
      <c r="L57" s="4" t="n">
        <v>0</v>
      </c>
      <c r="M57" s="6" t="n">
        <f aca="false">$R$2 + SUMPRODUCT(B57:K57,$S$2:$AB$2)</f>
        <v>-0.20673932</v>
      </c>
      <c r="N57" s="6" t="n">
        <f aca="false">1/(1+EXP(-M57))</f>
        <v>0.448498475644461</v>
      </c>
      <c r="O57" s="6" t="n">
        <f aca="false">IF(L57=1,N57,1-N57)</f>
        <v>0.551501524355539</v>
      </c>
      <c r="P57" s="6" t="n">
        <f aca="false">LN(O57)</f>
        <v>-0.595110676275103</v>
      </c>
      <c r="AD57" s="8" t="n">
        <f aca="false">B57</f>
        <v>37</v>
      </c>
      <c r="AE57" s="8" t="n">
        <f aca="false">C57</f>
        <v>44400</v>
      </c>
      <c r="AF57" s="8" t="n">
        <f aca="false">D57</f>
        <v>7</v>
      </c>
      <c r="AG57" s="9" t="n">
        <f aca="false">E57*0.85</f>
        <v>51.8415</v>
      </c>
      <c r="AH57" s="9" t="n">
        <f aca="false">F57*0.9</f>
        <v>4.5</v>
      </c>
      <c r="AI57" s="9" t="n">
        <f aca="false">G57</f>
        <v>0.5</v>
      </c>
      <c r="AJ57" s="9" t="n">
        <f aca="false">H57*1.2</f>
        <v>156</v>
      </c>
      <c r="AK57" s="8" t="n">
        <f aca="false">I57</f>
        <v>0</v>
      </c>
      <c r="AL57" s="8" t="n">
        <f aca="false">J57</f>
        <v>0</v>
      </c>
      <c r="AM57" s="9" t="n">
        <f aca="false">K57</f>
        <v>0.47</v>
      </c>
      <c r="AN57" s="6" t="n">
        <f aca="false">$R$2 + SUMPRODUCT(AD57:AM57,$S$2:$AB$2)</f>
        <v>-0.5373706205</v>
      </c>
      <c r="AO57" s="6" t="n">
        <f aca="false">1/(1+EXP(-AN57))</f>
        <v>0.368799454662553</v>
      </c>
    </row>
    <row r="58" customFormat="false" ht="15" hidden="false" customHeight="false" outlineLevel="0" collapsed="false">
      <c r="A58" s="3" t="s">
        <v>122</v>
      </c>
      <c r="B58" s="4" t="n">
        <v>45</v>
      </c>
      <c r="C58" s="4" t="n">
        <v>64800</v>
      </c>
      <c r="D58" s="4" t="n">
        <v>8</v>
      </c>
      <c r="E58" s="5" t="n">
        <v>73.27</v>
      </c>
      <c r="F58" s="4" t="n">
        <v>2</v>
      </c>
      <c r="G58" s="5" t="n">
        <v>0.52</v>
      </c>
      <c r="H58" s="4" t="n">
        <v>127</v>
      </c>
      <c r="I58" s="4" t="n">
        <v>0</v>
      </c>
      <c r="J58" s="4" t="n">
        <v>1</v>
      </c>
      <c r="K58" s="5" t="n">
        <v>0.41</v>
      </c>
      <c r="L58" s="4" t="n">
        <v>1</v>
      </c>
      <c r="M58" s="6" t="n">
        <f aca="false">$R$2 + SUMPRODUCT(B58:K58,$S$2:$AB$2)</f>
        <v>0.78741936</v>
      </c>
      <c r="N58" s="6" t="n">
        <f aca="false">1/(1+EXP(-M58))</f>
        <v>0.687276948717895</v>
      </c>
      <c r="O58" s="6" t="n">
        <f aca="false">IF(L58=1,N58,1-N58)</f>
        <v>0.687276948717895</v>
      </c>
      <c r="P58" s="6" t="n">
        <f aca="false">LN(O58)</f>
        <v>-0.375017940311395</v>
      </c>
      <c r="AD58" s="8" t="n">
        <f aca="false">B58</f>
        <v>45</v>
      </c>
      <c r="AE58" s="8" t="n">
        <f aca="false">C58</f>
        <v>64800</v>
      </c>
      <c r="AF58" s="8" t="n">
        <f aca="false">D58</f>
        <v>8</v>
      </c>
      <c r="AG58" s="9" t="n">
        <f aca="false">E58*0.85</f>
        <v>62.2795</v>
      </c>
      <c r="AH58" s="9" t="n">
        <f aca="false">F58*0.9</f>
        <v>1.8</v>
      </c>
      <c r="AI58" s="9" t="n">
        <f aca="false">G58</f>
        <v>0.52</v>
      </c>
      <c r="AJ58" s="9" t="n">
        <f aca="false">H58*1.2</f>
        <v>152.4</v>
      </c>
      <c r="AK58" s="8" t="n">
        <f aca="false">I58</f>
        <v>0</v>
      </c>
      <c r="AL58" s="8" t="n">
        <f aca="false">J58</f>
        <v>1</v>
      </c>
      <c r="AM58" s="9" t="n">
        <f aca="false">K58</f>
        <v>0.41</v>
      </c>
      <c r="AN58" s="6" t="n">
        <f aca="false">$R$2 + SUMPRODUCT(AD58:AM58,$S$2:$AB$2)</f>
        <v>0.4703181735</v>
      </c>
      <c r="AO58" s="6" t="n">
        <f aca="false">1/(1+EXP(-AN58))</f>
        <v>0.615459061026308</v>
      </c>
    </row>
    <row r="59" customFormat="false" ht="15" hidden="false" customHeight="false" outlineLevel="0" collapsed="false">
      <c r="A59" s="3" t="s">
        <v>123</v>
      </c>
      <c r="B59" s="4" t="n">
        <v>64</v>
      </c>
      <c r="C59" s="4" t="n">
        <v>51400</v>
      </c>
      <c r="D59" s="4" t="n">
        <v>6</v>
      </c>
      <c r="E59" s="5" t="n">
        <v>101.28</v>
      </c>
      <c r="F59" s="4" t="n">
        <v>4</v>
      </c>
      <c r="G59" s="5" t="n">
        <v>0.41</v>
      </c>
      <c r="H59" s="4" t="n">
        <v>119</v>
      </c>
      <c r="I59" s="4" t="n">
        <v>1</v>
      </c>
      <c r="J59" s="4" t="n">
        <v>0</v>
      </c>
      <c r="K59" s="5" t="n">
        <v>0.33</v>
      </c>
      <c r="L59" s="4" t="n">
        <v>0</v>
      </c>
      <c r="M59" s="6" t="n">
        <f aca="false">$R$2 + SUMPRODUCT(B59:K59,$S$2:$AB$2)</f>
        <v>0.35935524</v>
      </c>
      <c r="N59" s="6" t="n">
        <f aca="false">1/(1+EXP(-M59))</f>
        <v>0.588884346888674</v>
      </c>
      <c r="O59" s="6" t="n">
        <f aca="false">IF(L59=1,N59,1-N59)</f>
        <v>0.411115653111326</v>
      </c>
      <c r="P59" s="6" t="n">
        <f aca="false">LN(O59)</f>
        <v>-0.888880709638441</v>
      </c>
      <c r="AD59" s="8" t="n">
        <f aca="false">B59</f>
        <v>64</v>
      </c>
      <c r="AE59" s="8" t="n">
        <f aca="false">C59</f>
        <v>51400</v>
      </c>
      <c r="AF59" s="8" t="n">
        <f aca="false">D59</f>
        <v>6</v>
      </c>
      <c r="AG59" s="9" t="n">
        <f aca="false">E59*0.85</f>
        <v>86.088</v>
      </c>
      <c r="AH59" s="9" t="n">
        <f aca="false">F59*0.9</f>
        <v>3.6</v>
      </c>
      <c r="AI59" s="9" t="n">
        <f aca="false">G59</f>
        <v>0.41</v>
      </c>
      <c r="AJ59" s="9" t="n">
        <f aca="false">H59*1.2</f>
        <v>142.8</v>
      </c>
      <c r="AK59" s="8" t="n">
        <f aca="false">I59</f>
        <v>1</v>
      </c>
      <c r="AL59" s="8" t="n">
        <f aca="false">J59</f>
        <v>0</v>
      </c>
      <c r="AM59" s="9" t="n">
        <f aca="false">K59</f>
        <v>0.33</v>
      </c>
      <c r="AN59" s="6" t="n">
        <f aca="false">$R$2 + SUMPRODUCT(AD59:AM59,$S$2:$AB$2)</f>
        <v>-0.0281844959999997</v>
      </c>
      <c r="AO59" s="6" t="n">
        <f aca="false">1/(1+EXP(-AN59))</f>
        <v>0.492954342396287</v>
      </c>
    </row>
    <row r="60" customFormat="false" ht="15" hidden="false" customHeight="false" outlineLevel="0" collapsed="false">
      <c r="A60" s="3" t="s">
        <v>124</v>
      </c>
      <c r="B60" s="4" t="n">
        <v>24</v>
      </c>
      <c r="C60" s="4" t="n">
        <v>51100</v>
      </c>
      <c r="D60" s="4" t="n">
        <v>5</v>
      </c>
      <c r="E60" s="5" t="n">
        <v>86.99</v>
      </c>
      <c r="F60" s="4" t="n">
        <v>6</v>
      </c>
      <c r="G60" s="5" t="n">
        <v>0.33</v>
      </c>
      <c r="H60" s="4" t="n">
        <v>357</v>
      </c>
      <c r="I60" s="4" t="n">
        <v>1</v>
      </c>
      <c r="J60" s="4" t="n">
        <v>1</v>
      </c>
      <c r="K60" s="5" t="n">
        <v>0.53</v>
      </c>
      <c r="L60" s="4" t="n">
        <v>1</v>
      </c>
      <c r="M60" s="6" t="n">
        <f aca="false">$R$2 + SUMPRODUCT(B60:K60,$S$2:$AB$2)</f>
        <v>0.0197635900000002</v>
      </c>
      <c r="N60" s="6" t="n">
        <f aca="false">1/(1+EXP(-M60))</f>
        <v>0.504940736680278</v>
      </c>
      <c r="O60" s="6" t="n">
        <f aca="false">IF(L60=1,N60,1-N60)</f>
        <v>0.504940736680278</v>
      </c>
      <c r="P60" s="6" t="n">
        <f aca="false">LN(O60)</f>
        <v>-0.683314209701552</v>
      </c>
      <c r="AD60" s="8" t="n">
        <f aca="false">B60</f>
        <v>24</v>
      </c>
      <c r="AE60" s="8" t="n">
        <f aca="false">C60</f>
        <v>51100</v>
      </c>
      <c r="AF60" s="8" t="n">
        <f aca="false">D60</f>
        <v>5</v>
      </c>
      <c r="AG60" s="9" t="n">
        <f aca="false">E60*0.85</f>
        <v>73.9415</v>
      </c>
      <c r="AH60" s="9" t="n">
        <f aca="false">F60*0.9</f>
        <v>5.4</v>
      </c>
      <c r="AI60" s="9" t="n">
        <f aca="false">G60</f>
        <v>0.33</v>
      </c>
      <c r="AJ60" s="9" t="n">
        <f aca="false">H60*1.2</f>
        <v>428.4</v>
      </c>
      <c r="AK60" s="8" t="n">
        <f aca="false">I60</f>
        <v>1</v>
      </c>
      <c r="AL60" s="8" t="n">
        <f aca="false">J60</f>
        <v>1</v>
      </c>
      <c r="AM60" s="9" t="n">
        <f aca="false">K60</f>
        <v>0.53</v>
      </c>
      <c r="AN60" s="6" t="n">
        <f aca="false">$R$2 + SUMPRODUCT(AD60:AM60,$S$2:$AB$2)</f>
        <v>-0.636275910499999</v>
      </c>
      <c r="AO60" s="6" t="n">
        <f aca="false">1/(1+EXP(-AN60))</f>
        <v>0.346088859382631</v>
      </c>
    </row>
    <row r="61" customFormat="false" ht="15" hidden="false" customHeight="false" outlineLevel="0" collapsed="false">
      <c r="A61" s="3" t="s">
        <v>125</v>
      </c>
      <c r="B61" s="4" t="n">
        <v>61</v>
      </c>
      <c r="C61" s="4" t="n">
        <v>74800</v>
      </c>
      <c r="D61" s="4" t="n">
        <v>6</v>
      </c>
      <c r="E61" s="5" t="n">
        <v>38.07</v>
      </c>
      <c r="F61" s="4" t="n">
        <v>3</v>
      </c>
      <c r="G61" s="5" t="n">
        <v>0.48</v>
      </c>
      <c r="H61" s="4" t="n">
        <v>262</v>
      </c>
      <c r="I61" s="4" t="n">
        <v>0</v>
      </c>
      <c r="J61" s="4" t="n">
        <v>0</v>
      </c>
      <c r="K61" s="5" t="n">
        <v>0.55</v>
      </c>
      <c r="L61" s="4" t="n">
        <v>1</v>
      </c>
      <c r="M61" s="6" t="n">
        <f aca="false">$R$2 + SUMPRODUCT(B61:K61,$S$2:$AB$2)</f>
        <v>-1.21521746</v>
      </c>
      <c r="N61" s="6" t="n">
        <f aca="false">1/(1+EXP(-M61))</f>
        <v>0.228779183697846</v>
      </c>
      <c r="O61" s="6" t="n">
        <f aca="false">IF(L61=1,N61,1-N61)</f>
        <v>0.228779183697846</v>
      </c>
      <c r="P61" s="6" t="n">
        <f aca="false">LN(O61)</f>
        <v>-1.47499800395704</v>
      </c>
      <c r="AD61" s="8" t="n">
        <f aca="false">B61</f>
        <v>61</v>
      </c>
      <c r="AE61" s="8" t="n">
        <f aca="false">C61</f>
        <v>74800</v>
      </c>
      <c r="AF61" s="8" t="n">
        <f aca="false">D61</f>
        <v>6</v>
      </c>
      <c r="AG61" s="9" t="n">
        <f aca="false">E61*0.85</f>
        <v>32.3595</v>
      </c>
      <c r="AH61" s="9" t="n">
        <f aca="false">F61*0.9</f>
        <v>2.7</v>
      </c>
      <c r="AI61" s="9" t="n">
        <f aca="false">G61</f>
        <v>0.48</v>
      </c>
      <c r="AJ61" s="9" t="n">
        <f aca="false">H61*1.2</f>
        <v>314.4</v>
      </c>
      <c r="AK61" s="8" t="n">
        <f aca="false">I61</f>
        <v>0</v>
      </c>
      <c r="AL61" s="8" t="n">
        <f aca="false">J61</f>
        <v>0</v>
      </c>
      <c r="AM61" s="9" t="n">
        <f aca="false">K61</f>
        <v>0.55</v>
      </c>
      <c r="AN61" s="6" t="n">
        <f aca="false">$R$2 + SUMPRODUCT(AD61:AM61,$S$2:$AB$2)</f>
        <v>-1.6284647065</v>
      </c>
      <c r="AO61" s="6" t="n">
        <f aca="false">1/(1+EXP(-AN61))</f>
        <v>0.164040789604717</v>
      </c>
    </row>
    <row r="62" customFormat="false" ht="15" hidden="false" customHeight="false" outlineLevel="0" collapsed="false">
      <c r="A62" s="3" t="s">
        <v>126</v>
      </c>
      <c r="B62" s="4" t="n">
        <v>25</v>
      </c>
      <c r="C62" s="4" t="n">
        <v>69900</v>
      </c>
      <c r="D62" s="4" t="n">
        <v>3</v>
      </c>
      <c r="E62" s="5" t="n">
        <v>99.41</v>
      </c>
      <c r="F62" s="4" t="n">
        <v>2</v>
      </c>
      <c r="G62" s="5" t="n">
        <v>0.38</v>
      </c>
      <c r="H62" s="4" t="n">
        <v>244</v>
      </c>
      <c r="I62" s="4" t="n">
        <v>1</v>
      </c>
      <c r="J62" s="4" t="n">
        <v>0</v>
      </c>
      <c r="K62" s="5" t="n">
        <v>0.48</v>
      </c>
      <c r="L62" s="4" t="n">
        <v>0</v>
      </c>
      <c r="M62" s="6" t="n">
        <f aca="false">$R$2 + SUMPRODUCT(B62:K62,$S$2:$AB$2)</f>
        <v>-0.18805765</v>
      </c>
      <c r="N62" s="6" t="n">
        <f aca="false">1/(1+EXP(-M62))</f>
        <v>0.453123657281953</v>
      </c>
      <c r="O62" s="6" t="n">
        <f aca="false">IF(L62=1,N62,1-N62)</f>
        <v>0.546876342718047</v>
      </c>
      <c r="P62" s="6" t="n">
        <f aca="false">LN(O62)</f>
        <v>-0.603532566617416</v>
      </c>
      <c r="AD62" s="8" t="n">
        <f aca="false">B62</f>
        <v>25</v>
      </c>
      <c r="AE62" s="8" t="n">
        <f aca="false">C62</f>
        <v>69900</v>
      </c>
      <c r="AF62" s="8" t="n">
        <f aca="false">D62</f>
        <v>3</v>
      </c>
      <c r="AG62" s="9" t="n">
        <f aca="false">E62*0.85</f>
        <v>84.4985</v>
      </c>
      <c r="AH62" s="9" t="n">
        <f aca="false">F62*0.9</f>
        <v>1.8</v>
      </c>
      <c r="AI62" s="9" t="n">
        <f aca="false">G62</f>
        <v>0.38</v>
      </c>
      <c r="AJ62" s="9" t="n">
        <f aca="false">H62*1.2</f>
        <v>292.8</v>
      </c>
      <c r="AK62" s="8" t="n">
        <f aca="false">I62</f>
        <v>1</v>
      </c>
      <c r="AL62" s="8" t="n">
        <f aca="false">J62</f>
        <v>0</v>
      </c>
      <c r="AM62" s="9" t="n">
        <f aca="false">K62</f>
        <v>0.48</v>
      </c>
      <c r="AN62" s="6" t="n">
        <f aca="false">$R$2 + SUMPRODUCT(AD62:AM62,$S$2:$AB$2)</f>
        <v>-0.6925668295</v>
      </c>
      <c r="AO62" s="6" t="n">
        <f aca="false">1/(1+EXP(-AN62))</f>
        <v>0.333462312707476</v>
      </c>
    </row>
    <row r="63" customFormat="false" ht="15" hidden="false" customHeight="false" outlineLevel="0" collapsed="false">
      <c r="A63" s="3" t="s">
        <v>127</v>
      </c>
      <c r="B63" s="4" t="n">
        <v>64</v>
      </c>
      <c r="C63" s="4" t="n">
        <v>69600</v>
      </c>
      <c r="D63" s="4" t="n">
        <v>8</v>
      </c>
      <c r="E63" s="5" t="n">
        <v>72.83</v>
      </c>
      <c r="F63" s="4" t="n">
        <v>5</v>
      </c>
      <c r="G63" s="5" t="n">
        <v>0.3</v>
      </c>
      <c r="H63" s="4" t="n">
        <v>103</v>
      </c>
      <c r="I63" s="4" t="n">
        <v>0</v>
      </c>
      <c r="J63" s="4" t="n">
        <v>1</v>
      </c>
      <c r="K63" s="5" t="n">
        <v>0.24</v>
      </c>
      <c r="L63" s="4" t="n">
        <v>0</v>
      </c>
      <c r="M63" s="6" t="n">
        <f aca="false">$R$2 + SUMPRODUCT(B63:K63,$S$2:$AB$2)</f>
        <v>0.60213961</v>
      </c>
      <c r="N63" s="6" t="n">
        <f aca="false">1/(1+EXP(-M63))</f>
        <v>0.646145662581055</v>
      </c>
      <c r="O63" s="6" t="n">
        <f aca="false">IF(L63=1,N63,1-N63)</f>
        <v>0.353854337418945</v>
      </c>
      <c r="P63" s="6" t="n">
        <f aca="false">LN(O63)</f>
        <v>-1.0388699267456</v>
      </c>
      <c r="AD63" s="8" t="n">
        <f aca="false">B63</f>
        <v>64</v>
      </c>
      <c r="AE63" s="8" t="n">
        <f aca="false">C63</f>
        <v>69600</v>
      </c>
      <c r="AF63" s="8" t="n">
        <f aca="false">D63</f>
        <v>8</v>
      </c>
      <c r="AG63" s="9" t="n">
        <f aca="false">E63*0.85</f>
        <v>61.9055</v>
      </c>
      <c r="AH63" s="9" t="n">
        <f aca="false">F63*0.9</f>
        <v>4.5</v>
      </c>
      <c r="AI63" s="9" t="n">
        <f aca="false">G63</f>
        <v>0.3</v>
      </c>
      <c r="AJ63" s="9" t="n">
        <f aca="false">H63*1.2</f>
        <v>123.6</v>
      </c>
      <c r="AK63" s="8" t="n">
        <f aca="false">I63</f>
        <v>0</v>
      </c>
      <c r="AL63" s="8" t="n">
        <f aca="false">J63</f>
        <v>1</v>
      </c>
      <c r="AM63" s="9" t="n">
        <f aca="false">K63</f>
        <v>0.24</v>
      </c>
      <c r="AN63" s="6" t="n">
        <f aca="false">$R$2 + SUMPRODUCT(AD63:AM63,$S$2:$AB$2)</f>
        <v>0.2787445015</v>
      </c>
      <c r="AO63" s="6" t="n">
        <f aca="false">1/(1+EXP(-AN63))</f>
        <v>0.569238394917568</v>
      </c>
    </row>
    <row r="64" customFormat="false" ht="15" hidden="false" customHeight="false" outlineLevel="0" collapsed="false">
      <c r="A64" s="3" t="s">
        <v>128</v>
      </c>
      <c r="B64" s="4" t="n">
        <v>52</v>
      </c>
      <c r="C64" s="4" t="n">
        <v>78500</v>
      </c>
      <c r="D64" s="4" t="n">
        <v>4</v>
      </c>
      <c r="E64" s="5" t="n">
        <v>82.18</v>
      </c>
      <c r="F64" s="4" t="n">
        <v>5</v>
      </c>
      <c r="G64" s="5" t="n">
        <v>0.23</v>
      </c>
      <c r="H64" s="4" t="n">
        <v>37</v>
      </c>
      <c r="I64" s="4" t="n">
        <v>0</v>
      </c>
      <c r="J64" s="4" t="n">
        <v>0</v>
      </c>
      <c r="K64" s="5" t="n">
        <v>0.39</v>
      </c>
      <c r="L64" s="4" t="n">
        <v>0</v>
      </c>
      <c r="M64" s="6" t="n">
        <f aca="false">$R$2 + SUMPRODUCT(B64:K64,$S$2:$AB$2)</f>
        <v>0.120640140000001</v>
      </c>
      <c r="N64" s="6" t="n">
        <f aca="false">1/(1+EXP(-M64))</f>
        <v>0.530123508954435</v>
      </c>
      <c r="O64" s="6" t="n">
        <f aca="false">IF(L64=1,N64,1-N64)</f>
        <v>0.469876491045565</v>
      </c>
      <c r="P64" s="6" t="n">
        <f aca="false">LN(O64)</f>
        <v>-0.755285403821501</v>
      </c>
      <c r="AD64" s="8" t="n">
        <f aca="false">B64</f>
        <v>52</v>
      </c>
      <c r="AE64" s="8" t="n">
        <f aca="false">C64</f>
        <v>78500</v>
      </c>
      <c r="AF64" s="8" t="n">
        <f aca="false">D64</f>
        <v>4</v>
      </c>
      <c r="AG64" s="9" t="n">
        <f aca="false">E64*0.85</f>
        <v>69.853</v>
      </c>
      <c r="AH64" s="9" t="n">
        <f aca="false">F64*0.9</f>
        <v>4.5</v>
      </c>
      <c r="AI64" s="9" t="n">
        <f aca="false">G64</f>
        <v>0.23</v>
      </c>
      <c r="AJ64" s="9" t="n">
        <f aca="false">H64*1.2</f>
        <v>44.4</v>
      </c>
      <c r="AK64" s="8" t="n">
        <f aca="false">I64</f>
        <v>0</v>
      </c>
      <c r="AL64" s="8" t="n">
        <f aca="false">J64</f>
        <v>0</v>
      </c>
      <c r="AM64" s="9" t="n">
        <f aca="false">K64</f>
        <v>0.39</v>
      </c>
      <c r="AN64" s="6" t="n">
        <f aca="false">$R$2 + SUMPRODUCT(AD64:AM64,$S$2:$AB$2)</f>
        <v>-0.145589150999999</v>
      </c>
      <c r="AO64" s="6" t="n">
        <f aca="false">1/(1+EXP(-AN64))</f>
        <v>0.463666866622447</v>
      </c>
    </row>
    <row r="65" customFormat="false" ht="15" hidden="false" customHeight="false" outlineLevel="0" collapsed="false">
      <c r="A65" s="3" t="s">
        <v>129</v>
      </c>
      <c r="B65" s="4" t="n">
        <v>31</v>
      </c>
      <c r="C65" s="4" t="n">
        <v>55400</v>
      </c>
      <c r="D65" s="4" t="n">
        <v>5</v>
      </c>
      <c r="E65" s="5" t="n">
        <v>101.66</v>
      </c>
      <c r="F65" s="4" t="n">
        <v>5</v>
      </c>
      <c r="G65" s="5" t="n">
        <v>0.16</v>
      </c>
      <c r="H65" s="4" t="n">
        <v>142</v>
      </c>
      <c r="I65" s="4" t="n">
        <v>0</v>
      </c>
      <c r="J65" s="4" t="n">
        <v>1</v>
      </c>
      <c r="K65" s="5" t="n">
        <v>0.43</v>
      </c>
      <c r="L65" s="4" t="n">
        <v>1</v>
      </c>
      <c r="M65" s="6" t="n">
        <f aca="false">$R$2 + SUMPRODUCT(B65:K65,$S$2:$AB$2)</f>
        <v>0.23707133</v>
      </c>
      <c r="N65" s="6" t="n">
        <f aca="false">1/(1+EXP(-M65))</f>
        <v>0.558991798861733</v>
      </c>
      <c r="O65" s="6" t="n">
        <f aca="false">IF(L65=1,N65,1-N65)</f>
        <v>0.558991798861733</v>
      </c>
      <c r="P65" s="6" t="n">
        <f aca="false">LN(O65)</f>
        <v>-0.581620477022794</v>
      </c>
      <c r="AD65" s="8" t="n">
        <f aca="false">B65</f>
        <v>31</v>
      </c>
      <c r="AE65" s="8" t="n">
        <f aca="false">C65</f>
        <v>55400</v>
      </c>
      <c r="AF65" s="8" t="n">
        <f aca="false">D65</f>
        <v>5</v>
      </c>
      <c r="AG65" s="9" t="n">
        <f aca="false">E65*0.85</f>
        <v>86.411</v>
      </c>
      <c r="AH65" s="9" t="n">
        <f aca="false">F65*0.9</f>
        <v>4.5</v>
      </c>
      <c r="AI65" s="9" t="n">
        <f aca="false">G65</f>
        <v>0.16</v>
      </c>
      <c r="AJ65" s="9" t="n">
        <f aca="false">H65*1.2</f>
        <v>170.4</v>
      </c>
      <c r="AK65" s="8" t="n">
        <f aca="false">I65</f>
        <v>0</v>
      </c>
      <c r="AL65" s="8" t="n">
        <f aca="false">J65</f>
        <v>1</v>
      </c>
      <c r="AM65" s="9" t="n">
        <f aca="false">K65</f>
        <v>0.43</v>
      </c>
      <c r="AN65" s="6" t="n">
        <f aca="false">$R$2 + SUMPRODUCT(AD65:AM65,$S$2:$AB$2)</f>
        <v>-0.189327187</v>
      </c>
      <c r="AO65" s="6" t="n">
        <f aca="false">1/(1+EXP(-AN65))</f>
        <v>0.452809081464826</v>
      </c>
    </row>
    <row r="66" customFormat="false" ht="15" hidden="false" customHeight="false" outlineLevel="0" collapsed="false">
      <c r="A66" s="3" t="s">
        <v>130</v>
      </c>
      <c r="B66" s="4" t="n">
        <v>34</v>
      </c>
      <c r="C66" s="4" t="n">
        <v>67300</v>
      </c>
      <c r="D66" s="4" t="n">
        <v>3</v>
      </c>
      <c r="E66" s="5" t="n">
        <v>37.21</v>
      </c>
      <c r="F66" s="4" t="n">
        <v>5</v>
      </c>
      <c r="G66" s="5" t="n">
        <v>0.05</v>
      </c>
      <c r="H66" s="4" t="n">
        <v>37</v>
      </c>
      <c r="I66" s="4" t="n">
        <v>0</v>
      </c>
      <c r="J66" s="4" t="n">
        <v>1</v>
      </c>
      <c r="K66" s="5" t="n">
        <v>0.47</v>
      </c>
      <c r="L66" s="4" t="n">
        <v>1</v>
      </c>
      <c r="M66" s="6" t="n">
        <f aca="false">$R$2 + SUMPRODUCT(B66:K66,$S$2:$AB$2)</f>
        <v>-0.29908301</v>
      </c>
      <c r="N66" s="6" t="n">
        <f aca="false">1/(1+EXP(-M66))</f>
        <v>0.425781664303155</v>
      </c>
      <c r="O66" s="6" t="n">
        <f aca="false">IF(L66=1,N66,1-N66)</f>
        <v>0.425781664303155</v>
      </c>
      <c r="P66" s="6" t="n">
        <f aca="false">LN(O66)</f>
        <v>-0.853828589208621</v>
      </c>
      <c r="AD66" s="8" t="n">
        <f aca="false">B66</f>
        <v>34</v>
      </c>
      <c r="AE66" s="8" t="n">
        <f aca="false">C66</f>
        <v>67300</v>
      </c>
      <c r="AF66" s="8" t="n">
        <f aca="false">D66</f>
        <v>3</v>
      </c>
      <c r="AG66" s="9" t="n">
        <f aca="false">E66*0.85</f>
        <v>31.6285</v>
      </c>
      <c r="AH66" s="9" t="n">
        <f aca="false">F66*0.9</f>
        <v>4.5</v>
      </c>
      <c r="AI66" s="9" t="n">
        <f aca="false">G66</f>
        <v>0.05</v>
      </c>
      <c r="AJ66" s="9" t="n">
        <f aca="false">H66*1.2</f>
        <v>44.4</v>
      </c>
      <c r="AK66" s="8" t="n">
        <f aca="false">I66</f>
        <v>0</v>
      </c>
      <c r="AL66" s="8" t="n">
        <f aca="false">J66</f>
        <v>1</v>
      </c>
      <c r="AM66" s="9" t="n">
        <f aca="false">K66</f>
        <v>0.47</v>
      </c>
      <c r="AN66" s="6" t="n">
        <f aca="false">$R$2 + SUMPRODUCT(AD66:AM66,$S$2:$AB$2)</f>
        <v>-0.474699999499999</v>
      </c>
      <c r="AO66" s="6" t="n">
        <f aca="false">1/(1+EXP(-AN66))</f>
        <v>0.383504421751655</v>
      </c>
    </row>
    <row r="67" customFormat="false" ht="15" hidden="false" customHeight="false" outlineLevel="0" collapsed="false">
      <c r="A67" s="3" t="s">
        <v>131</v>
      </c>
      <c r="B67" s="4" t="n">
        <v>53</v>
      </c>
      <c r="C67" s="4" t="n">
        <v>49400</v>
      </c>
      <c r="D67" s="4" t="n">
        <v>8</v>
      </c>
      <c r="E67" s="5" t="n">
        <v>64.1</v>
      </c>
      <c r="F67" s="4" t="n">
        <v>6</v>
      </c>
      <c r="G67" s="5" t="n">
        <v>0.16</v>
      </c>
      <c r="H67" s="4" t="n">
        <v>8</v>
      </c>
      <c r="I67" s="4" t="n">
        <v>0</v>
      </c>
      <c r="J67" s="4" t="n">
        <v>1</v>
      </c>
      <c r="K67" s="5" t="n">
        <v>0.65</v>
      </c>
      <c r="L67" s="4" t="n">
        <v>1</v>
      </c>
      <c r="M67" s="6" t="n">
        <f aca="false">$R$2 + SUMPRODUCT(B67:K67,$S$2:$AB$2)</f>
        <v>1.04622711</v>
      </c>
      <c r="N67" s="6" t="n">
        <f aca="false">1/(1+EXP(-M67))</f>
        <v>0.740049742859872</v>
      </c>
      <c r="O67" s="6" t="n">
        <f aca="false">IF(L67=1,N67,1-N67)</f>
        <v>0.740049742859872</v>
      </c>
      <c r="P67" s="6" t="n">
        <f aca="false">LN(O67)</f>
        <v>-0.301037874962181</v>
      </c>
      <c r="AD67" s="8" t="n">
        <f aca="false">B67</f>
        <v>53</v>
      </c>
      <c r="AE67" s="8" t="n">
        <f aca="false">C67</f>
        <v>49400</v>
      </c>
      <c r="AF67" s="8" t="n">
        <f aca="false">D67</f>
        <v>8</v>
      </c>
      <c r="AG67" s="9" t="n">
        <f aca="false">E67*0.85</f>
        <v>54.485</v>
      </c>
      <c r="AH67" s="9" t="n">
        <f aca="false">F67*0.9</f>
        <v>5.4</v>
      </c>
      <c r="AI67" s="9" t="n">
        <f aca="false">G67</f>
        <v>0.16</v>
      </c>
      <c r="AJ67" s="9" t="n">
        <f aca="false">H67*1.2</f>
        <v>9.6</v>
      </c>
      <c r="AK67" s="8" t="n">
        <f aca="false">I67</f>
        <v>0</v>
      </c>
      <c r="AL67" s="8" t="n">
        <f aca="false">J67</f>
        <v>1</v>
      </c>
      <c r="AM67" s="9" t="n">
        <f aca="false">K67</f>
        <v>0.65</v>
      </c>
      <c r="AN67" s="6" t="n">
        <f aca="false">$R$2 + SUMPRODUCT(AD67:AM67,$S$2:$AB$2)</f>
        <v>0.838218215</v>
      </c>
      <c r="AO67" s="6" t="n">
        <f aca="false">1/(1+EXP(-AN67))</f>
        <v>0.698089818838093</v>
      </c>
    </row>
    <row r="68" customFormat="false" ht="15" hidden="false" customHeight="false" outlineLevel="0" collapsed="false">
      <c r="A68" s="3" t="s">
        <v>132</v>
      </c>
      <c r="B68" s="4" t="n">
        <v>67</v>
      </c>
      <c r="C68" s="4" t="n">
        <v>60800</v>
      </c>
      <c r="D68" s="4" t="n">
        <v>6</v>
      </c>
      <c r="E68" s="5" t="n">
        <v>51.71</v>
      </c>
      <c r="F68" s="4" t="n">
        <v>4</v>
      </c>
      <c r="G68" s="5" t="n">
        <v>0.82</v>
      </c>
      <c r="H68" s="4" t="n">
        <v>231</v>
      </c>
      <c r="I68" s="4" t="n">
        <v>0</v>
      </c>
      <c r="J68" s="4" t="n">
        <v>0</v>
      </c>
      <c r="K68" s="5" t="n">
        <v>0.34</v>
      </c>
      <c r="L68" s="4" t="n">
        <v>0</v>
      </c>
      <c r="M68" s="6" t="n">
        <f aca="false">$R$2 + SUMPRODUCT(B68:K68,$S$2:$AB$2)</f>
        <v>-0.806439129999999</v>
      </c>
      <c r="N68" s="6" t="n">
        <f aca="false">1/(1+EXP(-M68))</f>
        <v>0.308649814140415</v>
      </c>
      <c r="O68" s="6" t="n">
        <f aca="false">IF(L68=1,N68,1-N68)</f>
        <v>0.691350185859585</v>
      </c>
      <c r="P68" s="6" t="n">
        <f aca="false">LN(O68)</f>
        <v>-0.369108802311812</v>
      </c>
      <c r="AD68" s="8" t="n">
        <f aca="false">B68</f>
        <v>67</v>
      </c>
      <c r="AE68" s="8" t="n">
        <f aca="false">C68</f>
        <v>60800</v>
      </c>
      <c r="AF68" s="8" t="n">
        <f aca="false">D68</f>
        <v>6</v>
      </c>
      <c r="AG68" s="9" t="n">
        <f aca="false">E68*0.85</f>
        <v>43.9535</v>
      </c>
      <c r="AH68" s="9" t="n">
        <f aca="false">F68*0.9</f>
        <v>3.6</v>
      </c>
      <c r="AI68" s="9" t="n">
        <f aca="false">G68</f>
        <v>0.82</v>
      </c>
      <c r="AJ68" s="9" t="n">
        <f aca="false">H68*1.2</f>
        <v>277.2</v>
      </c>
      <c r="AK68" s="8" t="n">
        <f aca="false">I68</f>
        <v>0</v>
      </c>
      <c r="AL68" s="8" t="n">
        <f aca="false">J68</f>
        <v>0</v>
      </c>
      <c r="AM68" s="9" t="n">
        <f aca="false">K68</f>
        <v>0.34</v>
      </c>
      <c r="AN68" s="6" t="n">
        <f aca="false">$R$2 + SUMPRODUCT(AD68:AM68,$S$2:$AB$2)</f>
        <v>-1.2230769945</v>
      </c>
      <c r="AO68" s="6" t="n">
        <f aca="false">1/(1+EXP(-AN68))</f>
        <v>0.227395410048647</v>
      </c>
    </row>
    <row r="69" customFormat="false" ht="15" hidden="false" customHeight="false" outlineLevel="0" collapsed="false">
      <c r="A69" s="3" t="s">
        <v>133</v>
      </c>
      <c r="B69" s="4" t="n">
        <v>57</v>
      </c>
      <c r="C69" s="4" t="n">
        <v>52700</v>
      </c>
      <c r="D69" s="4" t="n">
        <v>11</v>
      </c>
      <c r="E69" s="5" t="n">
        <v>25.8</v>
      </c>
      <c r="F69" s="4" t="n">
        <v>0</v>
      </c>
      <c r="G69" s="5" t="n">
        <v>0.18</v>
      </c>
      <c r="H69" s="4" t="n">
        <v>333</v>
      </c>
      <c r="I69" s="4" t="n">
        <v>0</v>
      </c>
      <c r="J69" s="4" t="n">
        <v>1</v>
      </c>
      <c r="K69" s="5" t="n">
        <v>0.16</v>
      </c>
      <c r="L69" s="4" t="n">
        <v>0</v>
      </c>
      <c r="M69" s="6" t="n">
        <f aca="false">$R$2 + SUMPRODUCT(B69:K69,$S$2:$AB$2)</f>
        <v>-1.96457254</v>
      </c>
      <c r="N69" s="6" t="n">
        <f aca="false">1/(1+EXP(-M69))</f>
        <v>0.122973045253101</v>
      </c>
      <c r="O69" s="6" t="n">
        <f aca="false">IF(L69=1,N69,1-N69)</f>
        <v>0.877026954746899</v>
      </c>
      <c r="P69" s="6" t="n">
        <f aca="false">LN(O69)</f>
        <v>-0.131217551909067</v>
      </c>
      <c r="AD69" s="8" t="n">
        <f aca="false">B69</f>
        <v>57</v>
      </c>
      <c r="AE69" s="8" t="n">
        <f aca="false">C69</f>
        <v>52700</v>
      </c>
      <c r="AF69" s="8" t="n">
        <f aca="false">D69</f>
        <v>11</v>
      </c>
      <c r="AG69" s="9" t="n">
        <f aca="false">E69*0.85</f>
        <v>21.93</v>
      </c>
      <c r="AH69" s="9" t="n">
        <f aca="false">F69*0.9</f>
        <v>0</v>
      </c>
      <c r="AI69" s="9" t="n">
        <f aca="false">G69</f>
        <v>0.18</v>
      </c>
      <c r="AJ69" s="9" t="n">
        <f aca="false">H69*1.2</f>
        <v>399.6</v>
      </c>
      <c r="AK69" s="8" t="n">
        <f aca="false">I69</f>
        <v>0</v>
      </c>
      <c r="AL69" s="8" t="n">
        <f aca="false">J69</f>
        <v>1</v>
      </c>
      <c r="AM69" s="9" t="n">
        <f aca="false">K69</f>
        <v>0.16</v>
      </c>
      <c r="AN69" s="6" t="n">
        <f aca="false">$R$2 + SUMPRODUCT(AD69:AM69,$S$2:$AB$2)</f>
        <v>-2.40004105</v>
      </c>
      <c r="AO69" s="6" t="n">
        <f aca="false">1/(1+EXP(-AN69))</f>
        <v>0.0831695662797721</v>
      </c>
    </row>
    <row r="70" customFormat="false" ht="15" hidden="false" customHeight="false" outlineLevel="0" collapsed="false">
      <c r="A70" s="3" t="s">
        <v>134</v>
      </c>
      <c r="B70" s="4" t="n">
        <v>21</v>
      </c>
      <c r="C70" s="4" t="n">
        <v>56700</v>
      </c>
      <c r="D70" s="4" t="n">
        <v>7</v>
      </c>
      <c r="E70" s="5" t="n">
        <v>73.67</v>
      </c>
      <c r="F70" s="4" t="n">
        <v>6</v>
      </c>
      <c r="G70" s="5" t="n">
        <v>0.82</v>
      </c>
      <c r="H70" s="4" t="n">
        <v>296</v>
      </c>
      <c r="I70" s="4" t="n">
        <v>0</v>
      </c>
      <c r="J70" s="4" t="n">
        <v>0</v>
      </c>
      <c r="K70" s="5" t="n">
        <v>0.11</v>
      </c>
      <c r="L70" s="4" t="n">
        <v>0</v>
      </c>
      <c r="M70" s="6" t="n">
        <f aca="false">$R$2 + SUMPRODUCT(B70:K70,$S$2:$AB$2)</f>
        <v>-0.29057504</v>
      </c>
      <c r="N70" s="6" t="n">
        <f aca="false">1/(1+EXP(-M70))</f>
        <v>0.427863093587628</v>
      </c>
      <c r="O70" s="6" t="n">
        <f aca="false">IF(L70=1,N70,1-N70)</f>
        <v>0.572136906412372</v>
      </c>
      <c r="P70" s="6" t="n">
        <f aca="false">LN(O70)</f>
        <v>-0.558376969366457</v>
      </c>
      <c r="AD70" s="8" t="n">
        <f aca="false">B70</f>
        <v>21</v>
      </c>
      <c r="AE70" s="8" t="n">
        <f aca="false">C70</f>
        <v>56700</v>
      </c>
      <c r="AF70" s="8" t="n">
        <f aca="false">D70</f>
        <v>7</v>
      </c>
      <c r="AG70" s="9" t="n">
        <f aca="false">E70*0.85</f>
        <v>62.6195</v>
      </c>
      <c r="AH70" s="9" t="n">
        <f aca="false">F70*0.9</f>
        <v>5.4</v>
      </c>
      <c r="AI70" s="9" t="n">
        <f aca="false">G70</f>
        <v>0.82</v>
      </c>
      <c r="AJ70" s="9" t="n">
        <f aca="false">H70*1.2</f>
        <v>355.2</v>
      </c>
      <c r="AK70" s="8" t="n">
        <f aca="false">I70</f>
        <v>0</v>
      </c>
      <c r="AL70" s="8" t="n">
        <f aca="false">J70</f>
        <v>0</v>
      </c>
      <c r="AM70" s="9" t="n">
        <f aca="false">K70</f>
        <v>0.11</v>
      </c>
      <c r="AN70" s="6" t="n">
        <f aca="false">$R$2 + SUMPRODUCT(AD70:AM70,$S$2:$AB$2)</f>
        <v>-0.849527806499999</v>
      </c>
      <c r="AO70" s="6" t="n">
        <f aca="false">1/(1+EXP(-AN70))</f>
        <v>0.299531920268795</v>
      </c>
    </row>
    <row r="71" customFormat="false" ht="15" hidden="false" customHeight="false" outlineLevel="0" collapsed="false">
      <c r="A71" s="3" t="s">
        <v>135</v>
      </c>
      <c r="B71" s="4" t="n">
        <v>19</v>
      </c>
      <c r="C71" s="4" t="n">
        <v>65700</v>
      </c>
      <c r="D71" s="4" t="n">
        <v>10</v>
      </c>
      <c r="E71" s="5" t="n">
        <v>127.79</v>
      </c>
      <c r="F71" s="4" t="n">
        <v>5</v>
      </c>
      <c r="G71" s="5" t="n">
        <v>0.29</v>
      </c>
      <c r="H71" s="4" t="n">
        <v>107</v>
      </c>
      <c r="I71" s="4" t="n">
        <v>1</v>
      </c>
      <c r="J71" s="4" t="n">
        <v>1</v>
      </c>
      <c r="K71" s="5" t="n">
        <v>0.51</v>
      </c>
      <c r="L71" s="4" t="n">
        <v>1</v>
      </c>
      <c r="M71" s="6" t="n">
        <f aca="false">$R$2 + SUMPRODUCT(B71:K71,$S$2:$AB$2)</f>
        <v>3.14091549</v>
      </c>
      <c r="N71" s="6" t="n">
        <f aca="false">1/(1+EXP(-M71))</f>
        <v>0.958549270739329</v>
      </c>
      <c r="O71" s="6" t="n">
        <f aca="false">IF(L71=1,N71,1-N71)</f>
        <v>0.958549270739329</v>
      </c>
      <c r="P71" s="6" t="n">
        <f aca="false">LN(O71)</f>
        <v>-0.0423343138120193</v>
      </c>
      <c r="AD71" s="8" t="n">
        <f aca="false">B71</f>
        <v>19</v>
      </c>
      <c r="AE71" s="8" t="n">
        <f aca="false">C71</f>
        <v>65700</v>
      </c>
      <c r="AF71" s="8" t="n">
        <f aca="false">D71</f>
        <v>10</v>
      </c>
      <c r="AG71" s="9" t="n">
        <f aca="false">E71*0.85</f>
        <v>108.6215</v>
      </c>
      <c r="AH71" s="9" t="n">
        <f aca="false">F71*0.9</f>
        <v>4.5</v>
      </c>
      <c r="AI71" s="9" t="n">
        <f aca="false">G71</f>
        <v>0.29</v>
      </c>
      <c r="AJ71" s="9" t="n">
        <f aca="false">H71*1.2</f>
        <v>128.4</v>
      </c>
      <c r="AK71" s="8" t="n">
        <f aca="false">I71</f>
        <v>1</v>
      </c>
      <c r="AL71" s="8" t="n">
        <f aca="false">J71</f>
        <v>1</v>
      </c>
      <c r="AM71" s="9" t="n">
        <f aca="false">K71</f>
        <v>0.51</v>
      </c>
      <c r="AN71" s="6" t="n">
        <f aca="false">$R$2 + SUMPRODUCT(AD71:AM71,$S$2:$AB$2)</f>
        <v>2.7021723295</v>
      </c>
      <c r="AO71" s="6" t="n">
        <f aca="false">1/(1+EXP(-AN71))</f>
        <v>0.93715470650897</v>
      </c>
    </row>
    <row r="72" customFormat="false" ht="15" hidden="false" customHeight="false" outlineLevel="0" collapsed="false">
      <c r="A72" s="3" t="s">
        <v>136</v>
      </c>
      <c r="B72" s="4" t="n">
        <v>23</v>
      </c>
      <c r="C72" s="4" t="n">
        <v>40300</v>
      </c>
      <c r="D72" s="4" t="n">
        <v>9</v>
      </c>
      <c r="E72" s="5" t="n">
        <v>19</v>
      </c>
      <c r="F72" s="4" t="n">
        <v>6</v>
      </c>
      <c r="G72" s="5" t="n">
        <v>0.62</v>
      </c>
      <c r="H72" s="4" t="n">
        <v>348</v>
      </c>
      <c r="I72" s="4" t="n">
        <v>0</v>
      </c>
      <c r="J72" s="4" t="n">
        <v>0</v>
      </c>
      <c r="K72" s="5" t="n">
        <v>0.21</v>
      </c>
      <c r="L72" s="4" t="n">
        <v>1</v>
      </c>
      <c r="M72" s="6" t="n">
        <f aca="false">$R$2 + SUMPRODUCT(B72:K72,$S$2:$AB$2)</f>
        <v>-1.56294805</v>
      </c>
      <c r="N72" s="6" t="n">
        <f aca="false">1/(1+EXP(-M72))</f>
        <v>0.17322402794919</v>
      </c>
      <c r="O72" s="6" t="n">
        <f aca="false">IF(L72=1,N72,1-N72)</f>
        <v>0.17322402794919</v>
      </c>
      <c r="P72" s="6" t="n">
        <f aca="false">LN(O72)</f>
        <v>-1.75316956297706</v>
      </c>
      <c r="AD72" s="8" t="n">
        <f aca="false">B72</f>
        <v>23</v>
      </c>
      <c r="AE72" s="8" t="n">
        <f aca="false">C72</f>
        <v>40300</v>
      </c>
      <c r="AF72" s="8" t="n">
        <f aca="false">D72</f>
        <v>9</v>
      </c>
      <c r="AG72" s="9" t="n">
        <f aca="false">E72*0.85</f>
        <v>16.15</v>
      </c>
      <c r="AH72" s="9" t="n">
        <f aca="false">F72*0.9</f>
        <v>5.4</v>
      </c>
      <c r="AI72" s="9" t="n">
        <f aca="false">G72</f>
        <v>0.62</v>
      </c>
      <c r="AJ72" s="9" t="n">
        <f aca="false">H72*1.2</f>
        <v>417.6</v>
      </c>
      <c r="AK72" s="8" t="n">
        <f aca="false">I72</f>
        <v>0</v>
      </c>
      <c r="AL72" s="8" t="n">
        <f aca="false">J72</f>
        <v>0</v>
      </c>
      <c r="AM72" s="9" t="n">
        <f aca="false">K72</f>
        <v>0.21</v>
      </c>
      <c r="AN72" s="6" t="n">
        <f aca="false">$R$2 + SUMPRODUCT(AD72:AM72,$S$2:$AB$2)</f>
        <v>-2.0716267</v>
      </c>
      <c r="AO72" s="6" t="n">
        <f aca="false">1/(1+EXP(-AN72))</f>
        <v>0.111885296216237</v>
      </c>
    </row>
    <row r="73" customFormat="false" ht="15" hidden="false" customHeight="false" outlineLevel="0" collapsed="false">
      <c r="A73" s="3" t="s">
        <v>137</v>
      </c>
      <c r="B73" s="4" t="n">
        <v>59</v>
      </c>
      <c r="C73" s="4" t="n">
        <v>92700</v>
      </c>
      <c r="D73" s="4" t="n">
        <v>6</v>
      </c>
      <c r="E73" s="5" t="n">
        <v>64.19</v>
      </c>
      <c r="F73" s="4" t="n">
        <v>6</v>
      </c>
      <c r="G73" s="5" t="n">
        <v>0.2</v>
      </c>
      <c r="H73" s="4" t="n">
        <v>18</v>
      </c>
      <c r="I73" s="4" t="n">
        <v>0</v>
      </c>
      <c r="J73" s="4" t="n">
        <v>1</v>
      </c>
      <c r="K73" s="5" t="n">
        <v>0.32</v>
      </c>
      <c r="L73" s="4" t="n">
        <v>1</v>
      </c>
      <c r="M73" s="6" t="n">
        <f aca="false">$R$2 + SUMPRODUCT(B73:K73,$S$2:$AB$2)</f>
        <v>1.22853203</v>
      </c>
      <c r="N73" s="6" t="n">
        <f aca="false">1/(1+EXP(-M73))</f>
        <v>0.773561541916094</v>
      </c>
      <c r="O73" s="6" t="n">
        <f aca="false">IF(L73=1,N73,1-N73)</f>
        <v>0.773561541916094</v>
      </c>
      <c r="P73" s="6" t="n">
        <f aca="false">LN(O73)</f>
        <v>-0.256750049217243</v>
      </c>
      <c r="AD73" s="8" t="n">
        <f aca="false">B73</f>
        <v>59</v>
      </c>
      <c r="AE73" s="8" t="n">
        <f aca="false">C73</f>
        <v>92700</v>
      </c>
      <c r="AF73" s="8" t="n">
        <f aca="false">D73</f>
        <v>6</v>
      </c>
      <c r="AG73" s="9" t="n">
        <f aca="false">E73*0.85</f>
        <v>54.5615</v>
      </c>
      <c r="AH73" s="9" t="n">
        <f aca="false">F73*0.9</f>
        <v>5.4</v>
      </c>
      <c r="AI73" s="9" t="n">
        <f aca="false">G73</f>
        <v>0.2</v>
      </c>
      <c r="AJ73" s="9" t="n">
        <f aca="false">H73*1.2</f>
        <v>21.6</v>
      </c>
      <c r="AK73" s="8" t="n">
        <f aca="false">I73</f>
        <v>0</v>
      </c>
      <c r="AL73" s="8" t="n">
        <f aca="false">J73</f>
        <v>1</v>
      </c>
      <c r="AM73" s="9" t="n">
        <f aca="false">K73</f>
        <v>0.32</v>
      </c>
      <c r="AN73" s="6" t="n">
        <f aca="false">$R$2 + SUMPRODUCT(AD73:AM73,$S$2:$AB$2)</f>
        <v>1.0088257895</v>
      </c>
      <c r="AO73" s="6" t="n">
        <f aca="false">1/(1+EXP(-AN73))</f>
        <v>0.732790291487421</v>
      </c>
    </row>
    <row r="74" customFormat="false" ht="15" hidden="false" customHeight="false" outlineLevel="0" collapsed="false">
      <c r="A74" s="3" t="s">
        <v>138</v>
      </c>
      <c r="B74" s="4" t="n">
        <v>21</v>
      </c>
      <c r="C74" s="4" t="n">
        <v>36900</v>
      </c>
      <c r="D74" s="4" t="n">
        <v>5</v>
      </c>
      <c r="E74" s="5" t="n">
        <v>81.01</v>
      </c>
      <c r="F74" s="4" t="n">
        <v>2</v>
      </c>
      <c r="G74" s="5" t="n">
        <v>0.46</v>
      </c>
      <c r="H74" s="4" t="n">
        <v>313</v>
      </c>
      <c r="I74" s="4" t="n">
        <v>1</v>
      </c>
      <c r="J74" s="4" t="n">
        <v>0</v>
      </c>
      <c r="K74" s="5" t="n">
        <v>0.6</v>
      </c>
      <c r="L74" s="4" t="n">
        <v>0</v>
      </c>
      <c r="M74" s="6" t="n">
        <f aca="false">$R$2 + SUMPRODUCT(B74:K74,$S$2:$AB$2)</f>
        <v>-0.89851121</v>
      </c>
      <c r="N74" s="6" t="n">
        <f aca="false">1/(1+EXP(-M74))</f>
        <v>0.289356540236707</v>
      </c>
      <c r="O74" s="6" t="n">
        <f aca="false">IF(L74=1,N74,1-N74)</f>
        <v>0.710643459763293</v>
      </c>
      <c r="P74" s="6" t="n">
        <f aca="false">LN(O74)</f>
        <v>-0.341584438015019</v>
      </c>
      <c r="AD74" s="8" t="n">
        <f aca="false">B74</f>
        <v>21</v>
      </c>
      <c r="AE74" s="8" t="n">
        <f aca="false">C74</f>
        <v>36900</v>
      </c>
      <c r="AF74" s="8" t="n">
        <f aca="false">D74</f>
        <v>5</v>
      </c>
      <c r="AG74" s="9" t="n">
        <f aca="false">E74*0.85</f>
        <v>68.8585</v>
      </c>
      <c r="AH74" s="9" t="n">
        <f aca="false">F74*0.9</f>
        <v>1.8</v>
      </c>
      <c r="AI74" s="9" t="n">
        <f aca="false">G74</f>
        <v>0.46</v>
      </c>
      <c r="AJ74" s="9" t="n">
        <f aca="false">H74*1.2</f>
        <v>375.6</v>
      </c>
      <c r="AK74" s="8" t="n">
        <f aca="false">I74</f>
        <v>1</v>
      </c>
      <c r="AL74" s="8" t="n">
        <f aca="false">J74</f>
        <v>0</v>
      </c>
      <c r="AM74" s="9" t="n">
        <f aca="false">K74</f>
        <v>0.6</v>
      </c>
      <c r="AN74" s="6" t="n">
        <f aca="false">$R$2 + SUMPRODUCT(AD74:AM74,$S$2:$AB$2)</f>
        <v>-1.4454057095</v>
      </c>
      <c r="AO74" s="6" t="n">
        <f aca="false">1/(1+EXP(-AN74))</f>
        <v>0.190709638992234</v>
      </c>
    </row>
    <row r="75" customFormat="false" ht="15" hidden="false" customHeight="false" outlineLevel="0" collapsed="false">
      <c r="A75" s="3" t="s">
        <v>139</v>
      </c>
      <c r="B75" s="4" t="n">
        <v>46</v>
      </c>
      <c r="C75" s="4" t="n">
        <v>33100</v>
      </c>
      <c r="D75" s="4" t="n">
        <v>5</v>
      </c>
      <c r="E75" s="5" t="n">
        <v>68.08</v>
      </c>
      <c r="F75" s="4" t="n">
        <v>2</v>
      </c>
      <c r="G75" s="5" t="n">
        <v>0.24</v>
      </c>
      <c r="H75" s="4" t="n">
        <v>83</v>
      </c>
      <c r="I75" s="4" t="n">
        <v>0</v>
      </c>
      <c r="J75" s="4" t="n">
        <v>1</v>
      </c>
      <c r="K75" s="5" t="n">
        <v>0.06</v>
      </c>
      <c r="L75" s="4" t="n">
        <v>1</v>
      </c>
      <c r="M75" s="6" t="n">
        <f aca="false">$R$2 + SUMPRODUCT(B75:K75,$S$2:$AB$2)</f>
        <v>-1.19788734</v>
      </c>
      <c r="N75" s="6" t="n">
        <f aca="false">1/(1+EXP(-M75))</f>
        <v>0.23185126016025</v>
      </c>
      <c r="O75" s="6" t="n">
        <f aca="false">IF(L75=1,N75,1-N75)</f>
        <v>0.23185126016025</v>
      </c>
      <c r="P75" s="6" t="n">
        <f aca="false">LN(O75)</f>
        <v>-1.46165923292006</v>
      </c>
      <c r="AD75" s="8" t="n">
        <f aca="false">B75</f>
        <v>46</v>
      </c>
      <c r="AE75" s="8" t="n">
        <f aca="false">C75</f>
        <v>33100</v>
      </c>
      <c r="AF75" s="8" t="n">
        <f aca="false">D75</f>
        <v>5</v>
      </c>
      <c r="AG75" s="9" t="n">
        <f aca="false">E75*0.85</f>
        <v>57.868</v>
      </c>
      <c r="AH75" s="9" t="n">
        <f aca="false">F75*0.9</f>
        <v>1.8</v>
      </c>
      <c r="AI75" s="9" t="n">
        <f aca="false">G75</f>
        <v>0.24</v>
      </c>
      <c r="AJ75" s="9" t="n">
        <f aca="false">H75*1.2</f>
        <v>99.6</v>
      </c>
      <c r="AK75" s="8" t="n">
        <f aca="false">I75</f>
        <v>0</v>
      </c>
      <c r="AL75" s="8" t="n">
        <f aca="false">J75</f>
        <v>1</v>
      </c>
      <c r="AM75" s="9" t="n">
        <f aca="false">K75</f>
        <v>0.06</v>
      </c>
      <c r="AN75" s="6" t="n">
        <f aca="false">$R$2 + SUMPRODUCT(AD75:AM75,$S$2:$AB$2)</f>
        <v>-1.453860536</v>
      </c>
      <c r="AO75" s="6" t="n">
        <f aca="false">1/(1+EXP(-AN75))</f>
        <v>0.189408136706168</v>
      </c>
    </row>
    <row r="76" customFormat="false" ht="15" hidden="false" customHeight="false" outlineLevel="0" collapsed="false">
      <c r="A76" s="3" t="s">
        <v>140</v>
      </c>
      <c r="B76" s="4" t="n">
        <v>35</v>
      </c>
      <c r="C76" s="4" t="n">
        <v>75800</v>
      </c>
      <c r="D76" s="4" t="n">
        <v>10</v>
      </c>
      <c r="E76" s="5" t="n">
        <v>62.17</v>
      </c>
      <c r="F76" s="4" t="n">
        <v>3</v>
      </c>
      <c r="G76" s="5" t="n">
        <v>0.76</v>
      </c>
      <c r="H76" s="4" t="n">
        <v>288</v>
      </c>
      <c r="I76" s="4" t="n">
        <v>1</v>
      </c>
      <c r="J76" s="4" t="n">
        <v>1</v>
      </c>
      <c r="K76" s="5" t="n">
        <v>0.4</v>
      </c>
      <c r="L76" s="4" t="n">
        <v>0</v>
      </c>
      <c r="M76" s="6" t="n">
        <f aca="false">$R$2 + SUMPRODUCT(B76:K76,$S$2:$AB$2)</f>
        <v>1.68375377</v>
      </c>
      <c r="N76" s="6" t="n">
        <f aca="false">1/(1+EXP(-M76))</f>
        <v>0.843400952565185</v>
      </c>
      <c r="O76" s="6" t="n">
        <f aca="false">IF(L76=1,N76,1-N76)</f>
        <v>0.156599047434815</v>
      </c>
      <c r="P76" s="6" t="n">
        <f aca="false">LN(O76)</f>
        <v>-1.85406657823566</v>
      </c>
      <c r="AD76" s="8" t="n">
        <f aca="false">B76</f>
        <v>35</v>
      </c>
      <c r="AE76" s="8" t="n">
        <f aca="false">C76</f>
        <v>75800</v>
      </c>
      <c r="AF76" s="8" t="n">
        <f aca="false">D76</f>
        <v>10</v>
      </c>
      <c r="AG76" s="9" t="n">
        <f aca="false">E76*0.85</f>
        <v>52.8445</v>
      </c>
      <c r="AH76" s="9" t="n">
        <f aca="false">F76*0.9</f>
        <v>2.7</v>
      </c>
      <c r="AI76" s="9" t="n">
        <f aca="false">G76</f>
        <v>0.76</v>
      </c>
      <c r="AJ76" s="9" t="n">
        <f aca="false">H76*1.2</f>
        <v>345.6</v>
      </c>
      <c r="AK76" s="8" t="n">
        <f aca="false">I76</f>
        <v>1</v>
      </c>
      <c r="AL76" s="8" t="n">
        <f aca="false">J76</f>
        <v>1</v>
      </c>
      <c r="AM76" s="9" t="n">
        <f aca="false">K76</f>
        <v>0.4</v>
      </c>
      <c r="AN76" s="6" t="n">
        <f aca="false">$R$2 + SUMPRODUCT(AD76:AM76,$S$2:$AB$2)</f>
        <v>1.1920046285</v>
      </c>
      <c r="AO76" s="6" t="n">
        <f aca="false">1/(1+EXP(-AN76))</f>
        <v>0.767099398713949</v>
      </c>
    </row>
    <row r="77" customFormat="false" ht="15" hidden="false" customHeight="false" outlineLevel="0" collapsed="false">
      <c r="A77" s="3" t="s">
        <v>141</v>
      </c>
      <c r="B77" s="4" t="n">
        <v>43</v>
      </c>
      <c r="C77" s="4" t="n">
        <v>69200</v>
      </c>
      <c r="D77" s="4" t="n">
        <v>1</v>
      </c>
      <c r="E77" s="5" t="n">
        <v>32.52</v>
      </c>
      <c r="F77" s="4" t="n">
        <v>6</v>
      </c>
      <c r="G77" s="5" t="n">
        <v>0.14</v>
      </c>
      <c r="H77" s="4" t="n">
        <v>194</v>
      </c>
      <c r="I77" s="4" t="n">
        <v>1</v>
      </c>
      <c r="J77" s="4" t="n">
        <v>1</v>
      </c>
      <c r="K77" s="5" t="n">
        <v>0.78</v>
      </c>
      <c r="L77" s="4" t="n">
        <v>0</v>
      </c>
      <c r="M77" s="6" t="n">
        <f aca="false">$R$2 + SUMPRODUCT(B77:K77,$S$2:$AB$2)</f>
        <v>-0.36107416</v>
      </c>
      <c r="N77" s="6" t="n">
        <f aca="false">1/(1+EXP(-M77))</f>
        <v>0.410699566987717</v>
      </c>
      <c r="O77" s="6" t="n">
        <f aca="false">IF(L77=1,N77,1-N77)</f>
        <v>0.589300433012283</v>
      </c>
      <c r="P77" s="6" t="n">
        <f aca="false">LN(O77)</f>
        <v>-0.528819152347629</v>
      </c>
      <c r="AD77" s="8" t="n">
        <f aca="false">B77</f>
        <v>43</v>
      </c>
      <c r="AE77" s="8" t="n">
        <f aca="false">C77</f>
        <v>69200</v>
      </c>
      <c r="AF77" s="8" t="n">
        <f aca="false">D77</f>
        <v>1</v>
      </c>
      <c r="AG77" s="9" t="n">
        <f aca="false">E77*0.85</f>
        <v>27.642</v>
      </c>
      <c r="AH77" s="9" t="n">
        <f aca="false">F77*0.9</f>
        <v>5.4</v>
      </c>
      <c r="AI77" s="9" t="n">
        <f aca="false">G77</f>
        <v>0.14</v>
      </c>
      <c r="AJ77" s="9" t="n">
        <f aca="false">H77*1.2</f>
        <v>232.8</v>
      </c>
      <c r="AK77" s="8" t="n">
        <f aca="false">I77</f>
        <v>1</v>
      </c>
      <c r="AL77" s="8" t="n">
        <f aca="false">J77</f>
        <v>1</v>
      </c>
      <c r="AM77" s="9" t="n">
        <f aca="false">K77</f>
        <v>0.78</v>
      </c>
      <c r="AN77" s="6" t="n">
        <f aca="false">$R$2 + SUMPRODUCT(AD77:AM77,$S$2:$AB$2)</f>
        <v>-0.719648534</v>
      </c>
      <c r="AO77" s="6" t="n">
        <f aca="false">1/(1+EXP(-AN77))</f>
        <v>0.327470382836322</v>
      </c>
    </row>
    <row r="78" customFormat="false" ht="15" hidden="false" customHeight="false" outlineLevel="0" collapsed="false">
      <c r="A78" s="3" t="s">
        <v>142</v>
      </c>
      <c r="B78" s="4" t="n">
        <v>61</v>
      </c>
      <c r="C78" s="4" t="n">
        <v>66200</v>
      </c>
      <c r="D78" s="4" t="n">
        <v>7</v>
      </c>
      <c r="E78" s="5" t="n">
        <v>70.82</v>
      </c>
      <c r="F78" s="4" t="n">
        <v>4</v>
      </c>
      <c r="G78" s="5" t="n">
        <v>0.35</v>
      </c>
      <c r="H78" s="4" t="n">
        <v>215</v>
      </c>
      <c r="I78" s="4" t="n">
        <v>0</v>
      </c>
      <c r="J78" s="4" t="n">
        <v>0</v>
      </c>
      <c r="K78" s="5" t="n">
        <v>0.18</v>
      </c>
      <c r="L78" s="4" t="n">
        <v>1</v>
      </c>
      <c r="M78" s="6" t="n">
        <f aca="false">$R$2 + SUMPRODUCT(B78:K78,$S$2:$AB$2)</f>
        <v>-1.03374415</v>
      </c>
      <c r="N78" s="6" t="n">
        <f aca="false">1/(1+EXP(-M78))</f>
        <v>0.262358866760571</v>
      </c>
      <c r="O78" s="6" t="n">
        <f aca="false">IF(L78=1,N78,1-N78)</f>
        <v>0.262358866760571</v>
      </c>
      <c r="P78" s="6" t="n">
        <f aca="false">LN(O78)</f>
        <v>-1.3380419919722</v>
      </c>
      <c r="AD78" s="8" t="n">
        <f aca="false">B78</f>
        <v>61</v>
      </c>
      <c r="AE78" s="8" t="n">
        <f aca="false">C78</f>
        <v>66200</v>
      </c>
      <c r="AF78" s="8" t="n">
        <f aca="false">D78</f>
        <v>7</v>
      </c>
      <c r="AG78" s="9" t="n">
        <f aca="false">E78*0.85</f>
        <v>60.197</v>
      </c>
      <c r="AH78" s="9" t="n">
        <f aca="false">F78*0.9</f>
        <v>3.6</v>
      </c>
      <c r="AI78" s="9" t="n">
        <f aca="false">G78</f>
        <v>0.35</v>
      </c>
      <c r="AJ78" s="9" t="n">
        <f aca="false">H78*1.2</f>
        <v>258</v>
      </c>
      <c r="AK78" s="8" t="n">
        <f aca="false">I78</f>
        <v>0</v>
      </c>
      <c r="AL78" s="8" t="n">
        <f aca="false">J78</f>
        <v>0</v>
      </c>
      <c r="AM78" s="9" t="n">
        <f aca="false">K78</f>
        <v>0.18</v>
      </c>
      <c r="AN78" s="6" t="n">
        <f aca="false">$R$2 + SUMPRODUCT(AD78:AM78,$S$2:$AB$2)</f>
        <v>-1.470462109</v>
      </c>
      <c r="AO78" s="6" t="n">
        <f aca="false">1/(1+EXP(-AN78))</f>
        <v>0.186872385837751</v>
      </c>
    </row>
    <row r="79" customFormat="false" ht="15" hidden="false" customHeight="false" outlineLevel="0" collapsed="false">
      <c r="A79" s="3" t="s">
        <v>143</v>
      </c>
      <c r="B79" s="4" t="n">
        <v>51</v>
      </c>
      <c r="C79" s="4" t="n">
        <v>66300</v>
      </c>
      <c r="D79" s="4" t="n">
        <v>6</v>
      </c>
      <c r="E79" s="5" t="n">
        <v>46.08</v>
      </c>
      <c r="F79" s="4" t="n">
        <v>3</v>
      </c>
      <c r="G79" s="5" t="n">
        <v>0.06</v>
      </c>
      <c r="H79" s="4" t="n">
        <v>281</v>
      </c>
      <c r="I79" s="4" t="n">
        <v>1</v>
      </c>
      <c r="J79" s="4" t="n">
        <v>1</v>
      </c>
      <c r="K79" s="5" t="n">
        <v>0.42</v>
      </c>
      <c r="L79" s="4" t="n">
        <v>0</v>
      </c>
      <c r="M79" s="6" t="n">
        <f aca="false">$R$2 + SUMPRODUCT(B79:K79,$S$2:$AB$2)</f>
        <v>-0.78434624</v>
      </c>
      <c r="N79" s="6" t="n">
        <f aca="false">1/(1+EXP(-M79))</f>
        <v>0.313383928633988</v>
      </c>
      <c r="O79" s="6" t="n">
        <f aca="false">IF(L79=1,N79,1-N79)</f>
        <v>0.686616071366012</v>
      </c>
      <c r="P79" s="6" t="n">
        <f aca="false">LN(O79)</f>
        <v>-0.375979991057988</v>
      </c>
      <c r="AD79" s="8" t="n">
        <f aca="false">B79</f>
        <v>51</v>
      </c>
      <c r="AE79" s="8" t="n">
        <f aca="false">C79</f>
        <v>66300</v>
      </c>
      <c r="AF79" s="8" t="n">
        <f aca="false">D79</f>
        <v>6</v>
      </c>
      <c r="AG79" s="9" t="n">
        <f aca="false">E79*0.85</f>
        <v>39.168</v>
      </c>
      <c r="AH79" s="9" t="n">
        <f aca="false">F79*0.9</f>
        <v>2.7</v>
      </c>
      <c r="AI79" s="9" t="n">
        <f aca="false">G79</f>
        <v>0.06</v>
      </c>
      <c r="AJ79" s="9" t="n">
        <f aca="false">H79*1.2</f>
        <v>337.2</v>
      </c>
      <c r="AK79" s="8" t="n">
        <f aca="false">I79</f>
        <v>1</v>
      </c>
      <c r="AL79" s="8" t="n">
        <f aca="false">J79</f>
        <v>1</v>
      </c>
      <c r="AM79" s="9" t="n">
        <f aca="false">K79</f>
        <v>0.42</v>
      </c>
      <c r="AN79" s="6" t="n">
        <f aca="false">$R$2 + SUMPRODUCT(AD79:AM79,$S$2:$AB$2)</f>
        <v>-1.235613636</v>
      </c>
      <c r="AO79" s="6" t="n">
        <f aca="false">1/(1+EXP(-AN79))</f>
        <v>0.225200418636336</v>
      </c>
    </row>
    <row r="80" customFormat="false" ht="15" hidden="false" customHeight="false" outlineLevel="0" collapsed="false">
      <c r="A80" s="3" t="s">
        <v>144</v>
      </c>
      <c r="B80" s="4" t="n">
        <v>27</v>
      </c>
      <c r="C80" s="4" t="n">
        <v>54800</v>
      </c>
      <c r="D80" s="4" t="n">
        <v>5</v>
      </c>
      <c r="E80" s="5" t="n">
        <v>10.25</v>
      </c>
      <c r="F80" s="4" t="n">
        <v>3</v>
      </c>
      <c r="G80" s="5" t="n">
        <v>0.11</v>
      </c>
      <c r="H80" s="4" t="n">
        <v>220</v>
      </c>
      <c r="I80" s="4" t="n">
        <v>1</v>
      </c>
      <c r="J80" s="4" t="n">
        <v>0</v>
      </c>
      <c r="K80" s="5" t="n">
        <v>0.74</v>
      </c>
      <c r="L80" s="4" t="n">
        <v>0</v>
      </c>
      <c r="M80" s="6" t="n">
        <f aca="false">$R$2 + SUMPRODUCT(B80:K80,$S$2:$AB$2)</f>
        <v>-1.27342552</v>
      </c>
      <c r="N80" s="6" t="n">
        <f aca="false">1/(1+EXP(-M80))</f>
        <v>0.218671423510704</v>
      </c>
      <c r="O80" s="6" t="n">
        <f aca="false">IF(L80=1,N80,1-N80)</f>
        <v>0.781328576489296</v>
      </c>
      <c r="P80" s="6" t="n">
        <f aca="false">LN(O80)</f>
        <v>-0.246759505082845</v>
      </c>
      <c r="AD80" s="8" t="n">
        <f aca="false">B80</f>
        <v>27</v>
      </c>
      <c r="AE80" s="8" t="n">
        <f aca="false">C80</f>
        <v>54800</v>
      </c>
      <c r="AF80" s="8" t="n">
        <f aca="false">D80</f>
        <v>5</v>
      </c>
      <c r="AG80" s="9" t="n">
        <f aca="false">E80*0.85</f>
        <v>8.7125</v>
      </c>
      <c r="AH80" s="9" t="n">
        <f aca="false">F80*0.9</f>
        <v>2.7</v>
      </c>
      <c r="AI80" s="9" t="n">
        <f aca="false">G80</f>
        <v>0.11</v>
      </c>
      <c r="AJ80" s="9" t="n">
        <f aca="false">H80*1.2</f>
        <v>264</v>
      </c>
      <c r="AK80" s="8" t="n">
        <f aca="false">I80</f>
        <v>1</v>
      </c>
      <c r="AL80" s="8" t="n">
        <f aca="false">J80</f>
        <v>0</v>
      </c>
      <c r="AM80" s="9" t="n">
        <f aca="false">K80</f>
        <v>0.74</v>
      </c>
      <c r="AN80" s="6" t="n">
        <f aca="false">$R$2 + SUMPRODUCT(AD80:AM80,$S$2:$AB$2)</f>
        <v>-1.5822496575</v>
      </c>
      <c r="AO80" s="6" t="n">
        <f aca="false">1/(1+EXP(-AN80))</f>
        <v>0.170477111580302</v>
      </c>
    </row>
    <row r="81" customFormat="false" ht="15" hidden="false" customHeight="false" outlineLevel="0" collapsed="false">
      <c r="A81" s="3" t="s">
        <v>145</v>
      </c>
      <c r="B81" s="4" t="n">
        <v>53</v>
      </c>
      <c r="C81" s="4" t="n">
        <v>38800</v>
      </c>
      <c r="D81" s="4" t="n">
        <v>6</v>
      </c>
      <c r="E81" s="5" t="n">
        <v>94.86</v>
      </c>
      <c r="F81" s="4" t="n">
        <v>3</v>
      </c>
      <c r="G81" s="5" t="n">
        <v>0.67</v>
      </c>
      <c r="H81" s="4" t="n">
        <v>289</v>
      </c>
      <c r="I81" s="4" t="n">
        <v>1</v>
      </c>
      <c r="J81" s="4" t="n">
        <v>1</v>
      </c>
      <c r="K81" s="5" t="n">
        <v>0.21</v>
      </c>
      <c r="L81" s="4" t="n">
        <v>0</v>
      </c>
      <c r="M81" s="6" t="n">
        <f aca="false">$R$2 + SUMPRODUCT(B81:K81,$S$2:$AB$2)</f>
        <v>-0.0626361199999996</v>
      </c>
      <c r="N81" s="6" t="n">
        <f aca="false">1/(1+EXP(-M81))</f>
        <v>0.484346087560118</v>
      </c>
      <c r="O81" s="6" t="n">
        <f aca="false">IF(L81=1,N81,1-N81)</f>
        <v>0.515653912439882</v>
      </c>
      <c r="P81" s="6" t="n">
        <f aca="false">LN(O81)</f>
        <v>-0.662319450854522</v>
      </c>
      <c r="AD81" s="8" t="n">
        <f aca="false">B81</f>
        <v>53</v>
      </c>
      <c r="AE81" s="8" t="n">
        <f aca="false">C81</f>
        <v>38800</v>
      </c>
      <c r="AF81" s="8" t="n">
        <f aca="false">D81</f>
        <v>6</v>
      </c>
      <c r="AG81" s="9" t="n">
        <f aca="false">E81*0.85</f>
        <v>80.631</v>
      </c>
      <c r="AH81" s="9" t="n">
        <f aca="false">F81*0.9</f>
        <v>2.7</v>
      </c>
      <c r="AI81" s="9" t="n">
        <f aca="false">G81</f>
        <v>0.67</v>
      </c>
      <c r="AJ81" s="9" t="n">
        <f aca="false">H81*1.2</f>
        <v>346.8</v>
      </c>
      <c r="AK81" s="8" t="n">
        <f aca="false">I81</f>
        <v>1</v>
      </c>
      <c r="AL81" s="8" t="n">
        <f aca="false">J81</f>
        <v>1</v>
      </c>
      <c r="AM81" s="9" t="n">
        <f aca="false">K81</f>
        <v>0.21</v>
      </c>
      <c r="AN81" s="6" t="n">
        <f aca="false">$R$2 + SUMPRODUCT(AD81:AM81,$S$2:$AB$2)</f>
        <v>-0.621405577</v>
      </c>
      <c r="AO81" s="6" t="n">
        <f aca="false">1/(1+EXP(-AN81))</f>
        <v>0.349461842417923</v>
      </c>
    </row>
    <row r="82" customFormat="false" ht="15" hidden="false" customHeight="false" outlineLevel="0" collapsed="false">
      <c r="A82" s="3" t="s">
        <v>146</v>
      </c>
      <c r="B82" s="4" t="n">
        <v>31</v>
      </c>
      <c r="C82" s="4" t="n">
        <v>56400</v>
      </c>
      <c r="D82" s="4" t="n">
        <v>9</v>
      </c>
      <c r="E82" s="5" t="n">
        <v>88.96</v>
      </c>
      <c r="F82" s="4" t="n">
        <v>4</v>
      </c>
      <c r="G82" s="5" t="n">
        <v>0.4</v>
      </c>
      <c r="H82" s="4" t="n">
        <v>344</v>
      </c>
      <c r="I82" s="4" t="n">
        <v>1</v>
      </c>
      <c r="J82" s="4" t="n">
        <v>0</v>
      </c>
      <c r="K82" s="5" t="n">
        <v>0.08</v>
      </c>
      <c r="L82" s="4" t="n">
        <v>0</v>
      </c>
      <c r="M82" s="6" t="n">
        <f aca="false">$R$2 + SUMPRODUCT(B82:K82,$S$2:$AB$2)</f>
        <v>-0.34056228</v>
      </c>
      <c r="N82" s="6" t="n">
        <f aca="false">1/(1+EXP(-M82))</f>
        <v>0.415672898999078</v>
      </c>
      <c r="O82" s="6" t="n">
        <f aca="false">IF(L82=1,N82,1-N82)</f>
        <v>0.584327101000922</v>
      </c>
      <c r="P82" s="6" t="n">
        <f aca="false">LN(O82)</f>
        <v>-0.537294348500229</v>
      </c>
      <c r="AD82" s="8" t="n">
        <f aca="false">B82</f>
        <v>31</v>
      </c>
      <c r="AE82" s="8" t="n">
        <f aca="false">C82</f>
        <v>56400</v>
      </c>
      <c r="AF82" s="8" t="n">
        <f aca="false">D82</f>
        <v>9</v>
      </c>
      <c r="AG82" s="9" t="n">
        <f aca="false">E82*0.85</f>
        <v>75.616</v>
      </c>
      <c r="AH82" s="9" t="n">
        <f aca="false">F82*0.9</f>
        <v>3.6</v>
      </c>
      <c r="AI82" s="9" t="n">
        <f aca="false">G82</f>
        <v>0.4</v>
      </c>
      <c r="AJ82" s="9" t="n">
        <f aca="false">H82*1.2</f>
        <v>412.8</v>
      </c>
      <c r="AK82" s="8" t="n">
        <f aca="false">I82</f>
        <v>1</v>
      </c>
      <c r="AL82" s="8" t="n">
        <f aca="false">J82</f>
        <v>0</v>
      </c>
      <c r="AM82" s="9" t="n">
        <f aca="false">K82</f>
        <v>0.08</v>
      </c>
      <c r="AN82" s="6" t="n">
        <f aca="false">$R$2 + SUMPRODUCT(AD82:AM82,$S$2:$AB$2)</f>
        <v>-0.962387832</v>
      </c>
      <c r="AO82" s="6" t="n">
        <f aca="false">1/(1+EXP(-AN82))</f>
        <v>0.276400365931237</v>
      </c>
    </row>
    <row r="83" customFormat="false" ht="15" hidden="false" customHeight="false" outlineLevel="0" collapsed="false">
      <c r="A83" s="3" t="s">
        <v>147</v>
      </c>
      <c r="B83" s="4" t="n">
        <v>48</v>
      </c>
      <c r="C83" s="4" t="n">
        <v>42800</v>
      </c>
      <c r="D83" s="4" t="n">
        <v>7</v>
      </c>
      <c r="E83" s="5" t="n">
        <v>66.29</v>
      </c>
      <c r="F83" s="4" t="n">
        <v>2</v>
      </c>
      <c r="G83" s="5" t="n">
        <v>0.1</v>
      </c>
      <c r="H83" s="4" t="n">
        <v>194</v>
      </c>
      <c r="I83" s="4" t="n">
        <v>0</v>
      </c>
      <c r="J83" s="4" t="n">
        <v>1</v>
      </c>
      <c r="K83" s="5" t="n">
        <v>0.31</v>
      </c>
      <c r="L83" s="4" t="n">
        <v>0</v>
      </c>
      <c r="M83" s="6" t="n">
        <f aca="false">$R$2 + SUMPRODUCT(B83:K83,$S$2:$AB$2)</f>
        <v>-1.2293121</v>
      </c>
      <c r="N83" s="6" t="n">
        <f aca="false">1/(1+EXP(-M83))</f>
        <v>0.226301846997193</v>
      </c>
      <c r="O83" s="6" t="n">
        <f aca="false">IF(L83=1,N83,1-N83)</f>
        <v>0.773698153002807</v>
      </c>
      <c r="P83" s="6" t="n">
        <f aca="false">LN(O83)</f>
        <v>-0.256573464656142</v>
      </c>
      <c r="AD83" s="8" t="n">
        <f aca="false">B83</f>
        <v>48</v>
      </c>
      <c r="AE83" s="8" t="n">
        <f aca="false">C83</f>
        <v>42800</v>
      </c>
      <c r="AF83" s="8" t="n">
        <f aca="false">D83</f>
        <v>7</v>
      </c>
      <c r="AG83" s="9" t="n">
        <f aca="false">E83*0.85</f>
        <v>56.3465</v>
      </c>
      <c r="AH83" s="9" t="n">
        <f aca="false">F83*0.9</f>
        <v>1.8</v>
      </c>
      <c r="AI83" s="9" t="n">
        <f aca="false">G83</f>
        <v>0.1</v>
      </c>
      <c r="AJ83" s="9" t="n">
        <f aca="false">H83*1.2</f>
        <v>232.8</v>
      </c>
      <c r="AK83" s="8" t="n">
        <f aca="false">I83</f>
        <v>0</v>
      </c>
      <c r="AL83" s="8" t="n">
        <f aca="false">J83</f>
        <v>1</v>
      </c>
      <c r="AM83" s="9" t="n">
        <f aca="false">K83</f>
        <v>0.31</v>
      </c>
      <c r="AN83" s="6" t="n">
        <f aca="false">$R$2 + SUMPRODUCT(AD83:AM83,$S$2:$AB$2)</f>
        <v>-1.6095061355</v>
      </c>
      <c r="AO83" s="6" t="n">
        <f aca="false">1/(1+EXP(-AN83))</f>
        <v>0.166657191456327</v>
      </c>
    </row>
    <row r="84" customFormat="false" ht="15" hidden="false" customHeight="false" outlineLevel="0" collapsed="false">
      <c r="A84" s="3" t="s">
        <v>148</v>
      </c>
      <c r="B84" s="4" t="n">
        <v>65</v>
      </c>
      <c r="C84" s="4" t="n">
        <v>72600</v>
      </c>
      <c r="D84" s="4" t="n">
        <v>7</v>
      </c>
      <c r="E84" s="5" t="n">
        <v>70.73</v>
      </c>
      <c r="F84" s="4" t="n">
        <v>4</v>
      </c>
      <c r="G84" s="5" t="n">
        <v>0.38</v>
      </c>
      <c r="H84" s="4" t="n">
        <v>158</v>
      </c>
      <c r="I84" s="4" t="n">
        <v>1</v>
      </c>
      <c r="J84" s="4" t="n">
        <v>1</v>
      </c>
      <c r="K84" s="5" t="n">
        <v>0.29</v>
      </c>
      <c r="L84" s="4" t="n">
        <v>1</v>
      </c>
      <c r="M84" s="6" t="n">
        <f aca="false">$R$2 + SUMPRODUCT(B84:K84,$S$2:$AB$2)</f>
        <v>0.92386764</v>
      </c>
      <c r="N84" s="6" t="n">
        <f aca="false">1/(1+EXP(-M84))</f>
        <v>0.715829508141325</v>
      </c>
      <c r="O84" s="6" t="n">
        <f aca="false">IF(L84=1,N84,1-N84)</f>
        <v>0.715829508141325</v>
      </c>
      <c r="P84" s="6" t="n">
        <f aca="false">LN(O84)</f>
        <v>-0.334313257496929</v>
      </c>
      <c r="AD84" s="8" t="n">
        <f aca="false">B84</f>
        <v>65</v>
      </c>
      <c r="AE84" s="8" t="n">
        <f aca="false">C84</f>
        <v>72600</v>
      </c>
      <c r="AF84" s="8" t="n">
        <f aca="false">D84</f>
        <v>7</v>
      </c>
      <c r="AG84" s="9" t="n">
        <f aca="false">E84*0.85</f>
        <v>60.1205</v>
      </c>
      <c r="AH84" s="9" t="n">
        <f aca="false">F84*0.9</f>
        <v>3.6</v>
      </c>
      <c r="AI84" s="9" t="n">
        <f aca="false">G84</f>
        <v>0.38</v>
      </c>
      <c r="AJ84" s="9" t="n">
        <f aca="false">H84*1.2</f>
        <v>189.6</v>
      </c>
      <c r="AK84" s="8" t="n">
        <f aca="false">I84</f>
        <v>1</v>
      </c>
      <c r="AL84" s="8" t="n">
        <f aca="false">J84</f>
        <v>1</v>
      </c>
      <c r="AM84" s="9" t="n">
        <f aca="false">K84</f>
        <v>0.29</v>
      </c>
      <c r="AN84" s="6" t="n">
        <f aca="false">$R$2 + SUMPRODUCT(AD84:AM84,$S$2:$AB$2)</f>
        <v>0.552972226500001</v>
      </c>
      <c r="AO84" s="6" t="n">
        <f aca="false">1/(1+EXP(-AN84))</f>
        <v>0.634824894956111</v>
      </c>
    </row>
    <row r="85" customFormat="false" ht="15" hidden="false" customHeight="false" outlineLevel="0" collapsed="false">
      <c r="A85" s="3" t="s">
        <v>149</v>
      </c>
      <c r="B85" s="4" t="n">
        <v>32</v>
      </c>
      <c r="C85" s="4" t="n">
        <v>52400</v>
      </c>
      <c r="D85" s="4" t="n">
        <v>5</v>
      </c>
      <c r="E85" s="5" t="n">
        <v>91.86</v>
      </c>
      <c r="F85" s="4" t="n">
        <v>4</v>
      </c>
      <c r="G85" s="5" t="n">
        <v>0.18</v>
      </c>
      <c r="H85" s="4" t="n">
        <v>104</v>
      </c>
      <c r="I85" s="4" t="n">
        <v>0</v>
      </c>
      <c r="J85" s="4" t="n">
        <v>1</v>
      </c>
      <c r="K85" s="5" t="n">
        <v>0.06</v>
      </c>
      <c r="L85" s="4" t="n">
        <v>1</v>
      </c>
      <c r="M85" s="6" t="n">
        <f aca="false">$R$2 + SUMPRODUCT(B85:K85,$S$2:$AB$2)</f>
        <v>-0.26099686</v>
      </c>
      <c r="N85" s="6" t="n">
        <f aca="false">1/(1+EXP(-M85))</f>
        <v>0.435118673737418</v>
      </c>
      <c r="O85" s="6" t="n">
        <f aca="false">IF(L85=1,N85,1-N85)</f>
        <v>0.435118673737418</v>
      </c>
      <c r="P85" s="6" t="n">
        <f aca="false">LN(O85)</f>
        <v>-0.832136471910738</v>
      </c>
      <c r="AD85" s="8" t="n">
        <f aca="false">B85</f>
        <v>32</v>
      </c>
      <c r="AE85" s="8" t="n">
        <f aca="false">C85</f>
        <v>52400</v>
      </c>
      <c r="AF85" s="8" t="n">
        <f aca="false">D85</f>
        <v>5</v>
      </c>
      <c r="AG85" s="9" t="n">
        <f aca="false">E85*0.85</f>
        <v>78.081</v>
      </c>
      <c r="AH85" s="9" t="n">
        <f aca="false">F85*0.9</f>
        <v>3.6</v>
      </c>
      <c r="AI85" s="9" t="n">
        <f aca="false">G85</f>
        <v>0.18</v>
      </c>
      <c r="AJ85" s="9" t="n">
        <f aca="false">H85*1.2</f>
        <v>124.8</v>
      </c>
      <c r="AK85" s="8" t="n">
        <f aca="false">I85</f>
        <v>0</v>
      </c>
      <c r="AL85" s="8" t="n">
        <f aca="false">J85</f>
        <v>1</v>
      </c>
      <c r="AM85" s="9" t="n">
        <f aca="false">K85</f>
        <v>0.06</v>
      </c>
      <c r="AN85" s="6" t="n">
        <f aca="false">$R$2 + SUMPRODUCT(AD85:AM85,$S$2:$AB$2)</f>
        <v>-0.612281767</v>
      </c>
      <c r="AO85" s="6" t="n">
        <f aca="false">1/(1+EXP(-AN85))</f>
        <v>0.35153887188962</v>
      </c>
    </row>
    <row r="86" customFormat="false" ht="15" hidden="false" customHeight="false" outlineLevel="0" collapsed="false">
      <c r="A86" s="3" t="s">
        <v>150</v>
      </c>
      <c r="B86" s="4" t="n">
        <v>25</v>
      </c>
      <c r="C86" s="4" t="n">
        <v>40100</v>
      </c>
      <c r="D86" s="4" t="n">
        <v>4</v>
      </c>
      <c r="E86" s="5" t="n">
        <v>70.61</v>
      </c>
      <c r="F86" s="4" t="n">
        <v>6</v>
      </c>
      <c r="G86" s="5" t="n">
        <v>0.9</v>
      </c>
      <c r="H86" s="4" t="n">
        <v>34</v>
      </c>
      <c r="I86" s="4" t="n">
        <v>0</v>
      </c>
      <c r="J86" s="4" t="n">
        <v>1</v>
      </c>
      <c r="K86" s="5" t="n">
        <v>0.29</v>
      </c>
      <c r="L86" s="4" t="n">
        <v>1</v>
      </c>
      <c r="M86" s="6" t="n">
        <f aca="false">$R$2 + SUMPRODUCT(B86:K86,$S$2:$AB$2)</f>
        <v>1.1487206</v>
      </c>
      <c r="N86" s="6" t="n">
        <f aca="false">1/(1+EXP(-M86))</f>
        <v>0.759277151731626</v>
      </c>
      <c r="O86" s="6" t="n">
        <f aca="false">IF(L86=1,N86,1-N86)</f>
        <v>0.759277151731626</v>
      </c>
      <c r="P86" s="6" t="n">
        <f aca="false">LN(O86)</f>
        <v>-0.275388414442321</v>
      </c>
      <c r="AD86" s="8" t="n">
        <f aca="false">B86</f>
        <v>25</v>
      </c>
      <c r="AE86" s="8" t="n">
        <f aca="false">C86</f>
        <v>40100</v>
      </c>
      <c r="AF86" s="8" t="n">
        <f aca="false">D86</f>
        <v>4</v>
      </c>
      <c r="AG86" s="9" t="n">
        <f aca="false">E86*0.85</f>
        <v>60.0185</v>
      </c>
      <c r="AH86" s="9" t="n">
        <f aca="false">F86*0.9</f>
        <v>5.4</v>
      </c>
      <c r="AI86" s="9" t="n">
        <f aca="false">G86</f>
        <v>0.9</v>
      </c>
      <c r="AJ86" s="9" t="n">
        <f aca="false">H86*1.2</f>
        <v>40.8</v>
      </c>
      <c r="AK86" s="8" t="n">
        <f aca="false">I86</f>
        <v>0</v>
      </c>
      <c r="AL86" s="8" t="n">
        <f aca="false">J86</f>
        <v>1</v>
      </c>
      <c r="AM86" s="9" t="n">
        <f aca="false">K86</f>
        <v>0.29</v>
      </c>
      <c r="AN86" s="6" t="n">
        <f aca="false">$R$2 + SUMPRODUCT(AD86:AM86,$S$2:$AB$2)</f>
        <v>0.897652780500001</v>
      </c>
      <c r="AO86" s="6" t="n">
        <f aca="false">1/(1+EXP(-AN86))</f>
        <v>0.710466909564485</v>
      </c>
    </row>
    <row r="87" customFormat="false" ht="15" hidden="false" customHeight="false" outlineLevel="0" collapsed="false">
      <c r="A87" s="3" t="s">
        <v>151</v>
      </c>
      <c r="B87" s="4" t="n">
        <v>31</v>
      </c>
      <c r="C87" s="4" t="n">
        <v>49200</v>
      </c>
      <c r="D87" s="4" t="n">
        <v>7</v>
      </c>
      <c r="E87" s="5" t="n">
        <v>87.6</v>
      </c>
      <c r="F87" s="4" t="n">
        <v>2</v>
      </c>
      <c r="G87" s="5" t="n">
        <v>0.7</v>
      </c>
      <c r="H87" s="4" t="n">
        <v>102</v>
      </c>
      <c r="I87" s="4" t="n">
        <v>0</v>
      </c>
      <c r="J87" s="4" t="n">
        <v>1</v>
      </c>
      <c r="K87" s="5" t="n">
        <v>0.18</v>
      </c>
      <c r="L87" s="4" t="n">
        <v>0</v>
      </c>
      <c r="M87" s="6" t="n">
        <f aca="false">$R$2 + SUMPRODUCT(B87:K87,$S$2:$AB$2)</f>
        <v>0.772638440000001</v>
      </c>
      <c r="N87" s="6" t="n">
        <f aca="false">1/(1+EXP(-M87))</f>
        <v>0.684091364734259</v>
      </c>
      <c r="O87" s="6" t="n">
        <f aca="false">IF(L87=1,N87,1-N87)</f>
        <v>0.315908635265741</v>
      </c>
      <c r="P87" s="6" t="n">
        <f aca="false">LN(O87)</f>
        <v>-1.15230223610693</v>
      </c>
      <c r="AD87" s="8" t="n">
        <f aca="false">B87</f>
        <v>31</v>
      </c>
      <c r="AE87" s="8" t="n">
        <f aca="false">C87</f>
        <v>49200</v>
      </c>
      <c r="AF87" s="8" t="n">
        <f aca="false">D87</f>
        <v>7</v>
      </c>
      <c r="AG87" s="9" t="n">
        <f aca="false">E87*0.85</f>
        <v>74.46</v>
      </c>
      <c r="AH87" s="9" t="n">
        <f aca="false">F87*0.9</f>
        <v>1.8</v>
      </c>
      <c r="AI87" s="9" t="n">
        <f aca="false">G87</f>
        <v>0.7</v>
      </c>
      <c r="AJ87" s="9" t="n">
        <f aca="false">H87*1.2</f>
        <v>122.4</v>
      </c>
      <c r="AK87" s="8" t="n">
        <f aca="false">I87</f>
        <v>0</v>
      </c>
      <c r="AL87" s="8" t="n">
        <f aca="false">J87</f>
        <v>1</v>
      </c>
      <c r="AM87" s="9" t="n">
        <f aca="false">K87</f>
        <v>0.18</v>
      </c>
      <c r="AN87" s="6" t="n">
        <f aca="false">$R$2 + SUMPRODUCT(AD87:AM87,$S$2:$AB$2)</f>
        <v>0.45545302</v>
      </c>
      <c r="AO87" s="6" t="n">
        <f aca="false">1/(1+EXP(-AN87))</f>
        <v>0.611934953371275</v>
      </c>
    </row>
    <row r="88" customFormat="false" ht="15" hidden="false" customHeight="false" outlineLevel="0" collapsed="false">
      <c r="A88" s="3" t="s">
        <v>152</v>
      </c>
      <c r="B88" s="4" t="n">
        <v>40</v>
      </c>
      <c r="C88" s="4" t="n">
        <v>62400</v>
      </c>
      <c r="D88" s="4" t="n">
        <v>7</v>
      </c>
      <c r="E88" s="5" t="n">
        <v>57.56</v>
      </c>
      <c r="F88" s="4" t="n">
        <v>1</v>
      </c>
      <c r="G88" s="5" t="n">
        <v>0.8</v>
      </c>
      <c r="H88" s="4" t="n">
        <v>127</v>
      </c>
      <c r="I88" s="4" t="n">
        <v>0</v>
      </c>
      <c r="J88" s="4" t="n">
        <v>0</v>
      </c>
      <c r="K88" s="5" t="n">
        <v>0.38</v>
      </c>
      <c r="L88" s="4" t="n">
        <v>0</v>
      </c>
      <c r="M88" s="6" t="n">
        <f aca="false">$R$2 + SUMPRODUCT(B88:K88,$S$2:$AB$2)</f>
        <v>0.0724888200000002</v>
      </c>
      <c r="N88" s="6" t="n">
        <f aca="false">1/(1+EXP(-M88))</f>
        <v>0.518114273712206</v>
      </c>
      <c r="O88" s="6" t="n">
        <f aca="false">IF(L88=1,N88,1-N88)</f>
        <v>0.481885726287794</v>
      </c>
      <c r="P88" s="6" t="n">
        <f aca="false">LN(O88)</f>
        <v>-0.730048275430478</v>
      </c>
      <c r="AD88" s="8" t="n">
        <f aca="false">B88</f>
        <v>40</v>
      </c>
      <c r="AE88" s="8" t="n">
        <f aca="false">C88</f>
        <v>62400</v>
      </c>
      <c r="AF88" s="8" t="n">
        <f aca="false">D88</f>
        <v>7</v>
      </c>
      <c r="AG88" s="9" t="n">
        <f aca="false">E88*0.85</f>
        <v>48.926</v>
      </c>
      <c r="AH88" s="9" t="n">
        <f aca="false">F88*0.9</f>
        <v>0.9</v>
      </c>
      <c r="AI88" s="9" t="n">
        <f aca="false">G88</f>
        <v>0.8</v>
      </c>
      <c r="AJ88" s="9" t="n">
        <f aca="false">H88*1.2</f>
        <v>152.4</v>
      </c>
      <c r="AK88" s="8" t="n">
        <f aca="false">I88</f>
        <v>0</v>
      </c>
      <c r="AL88" s="8" t="n">
        <f aca="false">J88</f>
        <v>0</v>
      </c>
      <c r="AM88" s="9" t="n">
        <f aca="false">K88</f>
        <v>0.38</v>
      </c>
      <c r="AN88" s="6" t="n">
        <f aca="false">$R$2 + SUMPRODUCT(AD88:AM88,$S$2:$AB$2)</f>
        <v>-0.201351202</v>
      </c>
      <c r="AO88" s="6" t="n">
        <f aca="false">1/(1+EXP(-AN88))</f>
        <v>0.449831580368915</v>
      </c>
    </row>
    <row r="89" customFormat="false" ht="15" hidden="false" customHeight="false" outlineLevel="0" collapsed="false">
      <c r="A89" s="3" t="s">
        <v>153</v>
      </c>
      <c r="B89" s="4" t="n">
        <v>57</v>
      </c>
      <c r="C89" s="4" t="n">
        <v>44900</v>
      </c>
      <c r="D89" s="4" t="n">
        <v>3</v>
      </c>
      <c r="E89" s="5" t="n">
        <v>97.8</v>
      </c>
      <c r="F89" s="4" t="n">
        <v>5</v>
      </c>
      <c r="G89" s="5" t="n">
        <v>0.57</v>
      </c>
      <c r="H89" s="4" t="n">
        <v>214</v>
      </c>
      <c r="I89" s="4" t="n">
        <v>0</v>
      </c>
      <c r="J89" s="4" t="n">
        <v>0</v>
      </c>
      <c r="K89" s="5" t="n">
        <v>0.28</v>
      </c>
      <c r="L89" s="4" t="n">
        <v>0</v>
      </c>
      <c r="M89" s="6" t="n">
        <f aca="false">$R$2 + SUMPRODUCT(B89:K89,$S$2:$AB$2)</f>
        <v>-1.27202589</v>
      </c>
      <c r="N89" s="6" t="n">
        <f aca="false">1/(1+EXP(-M89))</f>
        <v>0.218910650377449</v>
      </c>
      <c r="O89" s="6" t="n">
        <f aca="false">IF(L89=1,N89,1-N89)</f>
        <v>0.781089349622551</v>
      </c>
      <c r="P89" s="6" t="n">
        <f aca="false">LN(O89)</f>
        <v>-0.247065731559919</v>
      </c>
      <c r="AD89" s="8" t="n">
        <f aca="false">B89</f>
        <v>57</v>
      </c>
      <c r="AE89" s="8" t="n">
        <f aca="false">C89</f>
        <v>44900</v>
      </c>
      <c r="AF89" s="8" t="n">
        <f aca="false">D89</f>
        <v>3</v>
      </c>
      <c r="AG89" s="9" t="n">
        <f aca="false">E89*0.85</f>
        <v>83.13</v>
      </c>
      <c r="AH89" s="9" t="n">
        <f aca="false">F89*0.9</f>
        <v>4.5</v>
      </c>
      <c r="AI89" s="9" t="n">
        <f aca="false">G89</f>
        <v>0.57</v>
      </c>
      <c r="AJ89" s="9" t="n">
        <f aca="false">H89*1.2</f>
        <v>256.8</v>
      </c>
      <c r="AK89" s="8" t="n">
        <f aca="false">I89</f>
        <v>0</v>
      </c>
      <c r="AL89" s="8" t="n">
        <f aca="false">J89</f>
        <v>0</v>
      </c>
      <c r="AM89" s="9" t="n">
        <f aca="false">K89</f>
        <v>0.28</v>
      </c>
      <c r="AN89" s="6" t="n">
        <f aca="false">$R$2 + SUMPRODUCT(AD89:AM89,$S$2:$AB$2)</f>
        <v>-1.7735619</v>
      </c>
      <c r="AO89" s="6" t="n">
        <f aca="false">1/(1+EXP(-AN89))</f>
        <v>0.145099930924017</v>
      </c>
    </row>
    <row r="90" customFormat="false" ht="15" hidden="false" customHeight="false" outlineLevel="0" collapsed="false">
      <c r="A90" s="3" t="s">
        <v>154</v>
      </c>
      <c r="B90" s="4" t="n">
        <v>38</v>
      </c>
      <c r="C90" s="4" t="n">
        <v>40200</v>
      </c>
      <c r="D90" s="4" t="n">
        <v>3</v>
      </c>
      <c r="E90" s="5" t="n">
        <v>73.02</v>
      </c>
      <c r="F90" s="4" t="n">
        <v>5</v>
      </c>
      <c r="G90" s="5" t="n">
        <v>0.52</v>
      </c>
      <c r="H90" s="4" t="n">
        <v>325</v>
      </c>
      <c r="I90" s="4" t="n">
        <v>1</v>
      </c>
      <c r="J90" s="4" t="n">
        <v>0</v>
      </c>
      <c r="K90" s="5" t="n">
        <v>0.47</v>
      </c>
      <c r="L90" s="4" t="n">
        <v>1</v>
      </c>
      <c r="M90" s="6" t="n">
        <f aca="false">$R$2 + SUMPRODUCT(B90:K90,$S$2:$AB$2)</f>
        <v>-1.27395691</v>
      </c>
      <c r="N90" s="6" t="n">
        <f aca="false">1/(1+EXP(-M90))</f>
        <v>0.218580646853144</v>
      </c>
      <c r="O90" s="6" t="n">
        <f aca="false">IF(L90=1,N90,1-N90)</f>
        <v>0.218580646853144</v>
      </c>
      <c r="P90" s="6" t="n">
        <f aca="false">LN(O90)</f>
        <v>-1.52060023939521</v>
      </c>
      <c r="AD90" s="8" t="n">
        <f aca="false">B90</f>
        <v>38</v>
      </c>
      <c r="AE90" s="8" t="n">
        <f aca="false">C90</f>
        <v>40200</v>
      </c>
      <c r="AF90" s="8" t="n">
        <f aca="false">D90</f>
        <v>3</v>
      </c>
      <c r="AG90" s="9" t="n">
        <f aca="false">E90*0.85</f>
        <v>62.067</v>
      </c>
      <c r="AH90" s="9" t="n">
        <f aca="false">F90*0.9</f>
        <v>4.5</v>
      </c>
      <c r="AI90" s="9" t="n">
        <f aca="false">G90</f>
        <v>0.52</v>
      </c>
      <c r="AJ90" s="9" t="n">
        <f aca="false">H90*1.2</f>
        <v>390</v>
      </c>
      <c r="AK90" s="8" t="n">
        <f aca="false">I90</f>
        <v>1</v>
      </c>
      <c r="AL90" s="8" t="n">
        <f aca="false">J90</f>
        <v>0</v>
      </c>
      <c r="AM90" s="9" t="n">
        <f aca="false">K90</f>
        <v>0.47</v>
      </c>
      <c r="AN90" s="6" t="n">
        <f aca="false">$R$2 + SUMPRODUCT(AD90:AM90,$S$2:$AB$2)</f>
        <v>-1.853390059</v>
      </c>
      <c r="AO90" s="6" t="n">
        <f aca="false">1/(1+EXP(-AN90))</f>
        <v>0.13547535636641</v>
      </c>
    </row>
    <row r="91" customFormat="false" ht="15" hidden="false" customHeight="false" outlineLevel="0" collapsed="false">
      <c r="A91" s="3" t="s">
        <v>155</v>
      </c>
      <c r="B91" s="4" t="n">
        <v>33</v>
      </c>
      <c r="C91" s="4" t="n">
        <v>59400</v>
      </c>
      <c r="D91" s="4" t="n">
        <v>6</v>
      </c>
      <c r="E91" s="5" t="n">
        <v>69.85</v>
      </c>
      <c r="F91" s="4" t="n">
        <v>6</v>
      </c>
      <c r="G91" s="5" t="n">
        <v>0.26</v>
      </c>
      <c r="H91" s="4" t="n">
        <v>296</v>
      </c>
      <c r="I91" s="4" t="n">
        <v>1</v>
      </c>
      <c r="J91" s="4" t="n">
        <v>1</v>
      </c>
      <c r="K91" s="5" t="n">
        <v>0.55</v>
      </c>
      <c r="L91" s="4" t="n">
        <v>0</v>
      </c>
      <c r="M91" s="6" t="n">
        <f aca="false">$R$2 + SUMPRODUCT(B91:K91,$S$2:$AB$2)</f>
        <v>0.32407966</v>
      </c>
      <c r="N91" s="6" t="n">
        <f aca="false">1/(1+EXP(-M91))</f>
        <v>0.580318173525893</v>
      </c>
      <c r="O91" s="6" t="n">
        <f aca="false">IF(L91=1,N91,1-N91)</f>
        <v>0.419681826474107</v>
      </c>
      <c r="P91" s="6" t="n">
        <f aca="false">LN(O91)</f>
        <v>-0.868258410809312</v>
      </c>
      <c r="AD91" s="8" t="n">
        <f aca="false">B91</f>
        <v>33</v>
      </c>
      <c r="AE91" s="8" t="n">
        <f aca="false">C91</f>
        <v>59400</v>
      </c>
      <c r="AF91" s="8" t="n">
        <f aca="false">D91</f>
        <v>6</v>
      </c>
      <c r="AG91" s="9" t="n">
        <f aca="false">E91*0.85</f>
        <v>59.3725</v>
      </c>
      <c r="AH91" s="9" t="n">
        <f aca="false">F91*0.9</f>
        <v>5.4</v>
      </c>
      <c r="AI91" s="9" t="n">
        <f aca="false">G91</f>
        <v>0.26</v>
      </c>
      <c r="AJ91" s="9" t="n">
        <f aca="false">H91*1.2</f>
        <v>355.2</v>
      </c>
      <c r="AK91" s="8" t="n">
        <f aca="false">I91</f>
        <v>1</v>
      </c>
      <c r="AL91" s="8" t="n">
        <f aca="false">J91</f>
        <v>1</v>
      </c>
      <c r="AM91" s="9" t="n">
        <f aca="false">K91</f>
        <v>0.55</v>
      </c>
      <c r="AN91" s="6" t="n">
        <f aca="false">$R$2 + SUMPRODUCT(AD91:AM91,$S$2:$AB$2)</f>
        <v>-0.227175997499999</v>
      </c>
      <c r="AO91" s="6" t="n">
        <f aca="false">1/(1+EXP(-AN91))</f>
        <v>0.443449003071975</v>
      </c>
    </row>
    <row r="92" customFormat="false" ht="15" hidden="false" customHeight="false" outlineLevel="0" collapsed="false">
      <c r="A92" s="3" t="s">
        <v>156</v>
      </c>
      <c r="B92" s="4" t="n">
        <v>62</v>
      </c>
      <c r="C92" s="4" t="n">
        <v>59400</v>
      </c>
      <c r="D92" s="4" t="n">
        <v>9</v>
      </c>
      <c r="E92" s="5" t="n">
        <v>33.25</v>
      </c>
      <c r="F92" s="4" t="n">
        <v>6</v>
      </c>
      <c r="G92" s="5" t="n">
        <v>0.05</v>
      </c>
      <c r="H92" s="4" t="n">
        <v>179</v>
      </c>
      <c r="I92" s="4" t="n">
        <v>0</v>
      </c>
      <c r="J92" s="4" t="n">
        <v>1</v>
      </c>
      <c r="K92" s="5" t="n">
        <v>0.16</v>
      </c>
      <c r="L92" s="4" t="n">
        <v>0</v>
      </c>
      <c r="M92" s="6" t="n">
        <f aca="false">$R$2 + SUMPRODUCT(B92:K92,$S$2:$AB$2)</f>
        <v>-0.77765092</v>
      </c>
      <c r="N92" s="6" t="n">
        <f aca="false">1/(1+EXP(-M92))</f>
        <v>0.3148263872761</v>
      </c>
      <c r="O92" s="6" t="n">
        <f aca="false">IF(L92=1,N92,1-N92)</f>
        <v>0.6851736127239</v>
      </c>
      <c r="P92" s="6" t="n">
        <f aca="false">LN(O92)</f>
        <v>-0.378083023600771</v>
      </c>
      <c r="AD92" s="8" t="n">
        <f aca="false">B92</f>
        <v>62</v>
      </c>
      <c r="AE92" s="8" t="n">
        <f aca="false">C92</f>
        <v>59400</v>
      </c>
      <c r="AF92" s="8" t="n">
        <f aca="false">D92</f>
        <v>9</v>
      </c>
      <c r="AG92" s="9" t="n">
        <f aca="false">E92*0.85</f>
        <v>28.2625</v>
      </c>
      <c r="AH92" s="9" t="n">
        <f aca="false">F92*0.9</f>
        <v>5.4</v>
      </c>
      <c r="AI92" s="9" t="n">
        <f aca="false">G92</f>
        <v>0.05</v>
      </c>
      <c r="AJ92" s="9" t="n">
        <f aca="false">H92*1.2</f>
        <v>214.8</v>
      </c>
      <c r="AK92" s="8" t="n">
        <f aca="false">I92</f>
        <v>0</v>
      </c>
      <c r="AL92" s="8" t="n">
        <f aca="false">J92</f>
        <v>1</v>
      </c>
      <c r="AM92" s="9" t="n">
        <f aca="false">K92</f>
        <v>0.16</v>
      </c>
      <c r="AN92" s="6" t="n">
        <f aca="false">$R$2 + SUMPRODUCT(AD92:AM92,$S$2:$AB$2)</f>
        <v>-1.1204222075</v>
      </c>
      <c r="AO92" s="6" t="n">
        <f aca="false">1/(1+EXP(-AN92))</f>
        <v>0.245932976793526</v>
      </c>
    </row>
    <row r="93" customFormat="false" ht="15" hidden="false" customHeight="false" outlineLevel="0" collapsed="false">
      <c r="A93" s="3" t="s">
        <v>157</v>
      </c>
      <c r="B93" s="4" t="n">
        <v>35</v>
      </c>
      <c r="C93" s="4" t="n">
        <v>45900</v>
      </c>
      <c r="D93" s="4" t="n">
        <v>6</v>
      </c>
      <c r="E93" s="5" t="n">
        <v>72.17</v>
      </c>
      <c r="F93" s="4" t="n">
        <v>1</v>
      </c>
      <c r="G93" s="5" t="n">
        <v>0.48</v>
      </c>
      <c r="H93" s="4" t="n">
        <v>80</v>
      </c>
      <c r="I93" s="4" t="n">
        <v>1</v>
      </c>
      <c r="J93" s="4" t="n">
        <v>0</v>
      </c>
      <c r="K93" s="5" t="n">
        <v>0.54</v>
      </c>
      <c r="L93" s="4" t="n">
        <v>1</v>
      </c>
      <c r="M93" s="6" t="n">
        <f aca="false">$R$2 + SUMPRODUCT(B93:K93,$S$2:$AB$2)</f>
        <v>0.407518510000001</v>
      </c>
      <c r="N93" s="6" t="n">
        <f aca="false">1/(1+EXP(-M93))</f>
        <v>0.600492715106701</v>
      </c>
      <c r="O93" s="6" t="n">
        <f aca="false">IF(L93=1,N93,1-N93)</f>
        <v>0.600492715106701</v>
      </c>
      <c r="P93" s="6" t="n">
        <f aca="false">LN(O93)</f>
        <v>-0.510004768915033</v>
      </c>
      <c r="AD93" s="8" t="n">
        <f aca="false">B93</f>
        <v>35</v>
      </c>
      <c r="AE93" s="8" t="n">
        <f aca="false">C93</f>
        <v>45900</v>
      </c>
      <c r="AF93" s="8" t="n">
        <f aca="false">D93</f>
        <v>6</v>
      </c>
      <c r="AG93" s="9" t="n">
        <f aca="false">E93*0.85</f>
        <v>61.3445</v>
      </c>
      <c r="AH93" s="9" t="n">
        <f aca="false">F93*0.9</f>
        <v>0.9</v>
      </c>
      <c r="AI93" s="9" t="n">
        <f aca="false">G93</f>
        <v>0.48</v>
      </c>
      <c r="AJ93" s="9" t="n">
        <f aca="false">H93*1.2</f>
        <v>96</v>
      </c>
      <c r="AK93" s="8" t="n">
        <f aca="false">I93</f>
        <v>1</v>
      </c>
      <c r="AL93" s="8" t="n">
        <f aca="false">J93</f>
        <v>0</v>
      </c>
      <c r="AM93" s="9" t="n">
        <f aca="false">K93</f>
        <v>0.54</v>
      </c>
      <c r="AN93" s="6" t="n">
        <f aca="false">$R$2 + SUMPRODUCT(AD93:AM93,$S$2:$AB$2)</f>
        <v>0.158365268500001</v>
      </c>
      <c r="AO93" s="6" t="n">
        <f aca="false">1/(1+EXP(-AN93))</f>
        <v>0.539508779723586</v>
      </c>
    </row>
    <row r="94" customFormat="false" ht="15" hidden="false" customHeight="false" outlineLevel="0" collapsed="false">
      <c r="A94" s="3" t="s">
        <v>158</v>
      </c>
      <c r="B94" s="4" t="n">
        <v>64</v>
      </c>
      <c r="C94" s="4" t="n">
        <v>46500</v>
      </c>
      <c r="D94" s="4" t="n">
        <v>8</v>
      </c>
      <c r="E94" s="5" t="n">
        <v>44.2</v>
      </c>
      <c r="F94" s="4" t="n">
        <v>3</v>
      </c>
      <c r="G94" s="5" t="n">
        <v>0.61</v>
      </c>
      <c r="H94" s="4" t="n">
        <v>141</v>
      </c>
      <c r="I94" s="4" t="n">
        <v>1</v>
      </c>
      <c r="J94" s="4" t="n">
        <v>1</v>
      </c>
      <c r="K94" s="5" t="n">
        <v>0.5</v>
      </c>
      <c r="L94" s="4" t="n">
        <v>1</v>
      </c>
      <c r="M94" s="6" t="n">
        <f aca="false">$R$2 + SUMPRODUCT(B94:K94,$S$2:$AB$2)</f>
        <v>0.76871441</v>
      </c>
      <c r="N94" s="6" t="n">
        <f aca="false">1/(1+EXP(-M94))</f>
        <v>0.683242729212885</v>
      </c>
      <c r="O94" s="6" t="n">
        <f aca="false">IF(L94=1,N94,1-N94)</f>
        <v>0.683242729212885</v>
      </c>
      <c r="P94" s="6" t="n">
        <f aca="false">LN(O94)</f>
        <v>-0.380905095704587</v>
      </c>
      <c r="AD94" s="8" t="n">
        <f aca="false">B94</f>
        <v>64</v>
      </c>
      <c r="AE94" s="8" t="n">
        <f aca="false">C94</f>
        <v>46500</v>
      </c>
      <c r="AF94" s="8" t="n">
        <f aca="false">D94</f>
        <v>8</v>
      </c>
      <c r="AG94" s="9" t="n">
        <f aca="false">E94*0.85</f>
        <v>37.57</v>
      </c>
      <c r="AH94" s="9" t="n">
        <f aca="false">F94*0.9</f>
        <v>2.7</v>
      </c>
      <c r="AI94" s="9" t="n">
        <f aca="false">G94</f>
        <v>0.61</v>
      </c>
      <c r="AJ94" s="9" t="n">
        <f aca="false">H94*1.2</f>
        <v>169.2</v>
      </c>
      <c r="AK94" s="8" t="n">
        <f aca="false">I94</f>
        <v>1</v>
      </c>
      <c r="AL94" s="8" t="n">
        <f aca="false">J94</f>
        <v>1</v>
      </c>
      <c r="AM94" s="9" t="n">
        <f aca="false">K94</f>
        <v>0.5</v>
      </c>
      <c r="AN94" s="6" t="n">
        <f aca="false">$R$2 + SUMPRODUCT(AD94:AM94,$S$2:$AB$2)</f>
        <v>0.482459120000001</v>
      </c>
      <c r="AO94" s="6" t="n">
        <f aca="false">1/(1+EXP(-AN94))</f>
        <v>0.618328391762699</v>
      </c>
    </row>
    <row r="95" customFormat="false" ht="15" hidden="false" customHeight="false" outlineLevel="0" collapsed="false">
      <c r="A95" s="3" t="s">
        <v>159</v>
      </c>
      <c r="B95" s="4" t="n">
        <v>41</v>
      </c>
      <c r="C95" s="4" t="n">
        <v>59200</v>
      </c>
      <c r="D95" s="4" t="n">
        <v>8</v>
      </c>
      <c r="E95" s="5" t="n">
        <v>49.04</v>
      </c>
      <c r="F95" s="4" t="n">
        <v>3</v>
      </c>
      <c r="G95" s="5" t="n">
        <v>0.52</v>
      </c>
      <c r="H95" s="4" t="n">
        <v>31</v>
      </c>
      <c r="I95" s="4" t="n">
        <v>0</v>
      </c>
      <c r="J95" s="4" t="n">
        <v>0</v>
      </c>
      <c r="K95" s="5" t="n">
        <v>0.34</v>
      </c>
      <c r="L95" s="4" t="n">
        <v>0</v>
      </c>
      <c r="M95" s="6" t="n">
        <f aca="false">$R$2 + SUMPRODUCT(B95:K95,$S$2:$AB$2)</f>
        <v>0.33881446</v>
      </c>
      <c r="N95" s="6" t="n">
        <f aca="false">1/(1+EXP(-M95))</f>
        <v>0.583902512382317</v>
      </c>
      <c r="O95" s="6" t="n">
        <f aca="false">IF(L95=1,N95,1-N95)</f>
        <v>0.416097487617684</v>
      </c>
      <c r="P95" s="6" t="n">
        <f aca="false">LN(O95)</f>
        <v>-0.876835700940613</v>
      </c>
      <c r="AD95" s="8" t="n">
        <f aca="false">B95</f>
        <v>41</v>
      </c>
      <c r="AE95" s="8" t="n">
        <f aca="false">C95</f>
        <v>59200</v>
      </c>
      <c r="AF95" s="8" t="n">
        <f aca="false">D95</f>
        <v>8</v>
      </c>
      <c r="AG95" s="9" t="n">
        <f aca="false">E95*0.85</f>
        <v>41.684</v>
      </c>
      <c r="AH95" s="9" t="n">
        <f aca="false">F95*0.9</f>
        <v>2.7</v>
      </c>
      <c r="AI95" s="9" t="n">
        <f aca="false">G95</f>
        <v>0.52</v>
      </c>
      <c r="AJ95" s="9" t="n">
        <f aca="false">H95*1.2</f>
        <v>37.2</v>
      </c>
      <c r="AK95" s="8" t="n">
        <f aca="false">I95</f>
        <v>0</v>
      </c>
      <c r="AL95" s="8" t="n">
        <f aca="false">J95</f>
        <v>0</v>
      </c>
      <c r="AM95" s="9" t="n">
        <f aca="false">K95</f>
        <v>0.34</v>
      </c>
      <c r="AN95" s="6" t="n">
        <f aca="false">$R$2 + SUMPRODUCT(AD95:AM95,$S$2:$AB$2)</f>
        <v>0.169482812</v>
      </c>
      <c r="AO95" s="6" t="n">
        <f aca="false">1/(1+EXP(-AN95))</f>
        <v>0.542269570651939</v>
      </c>
    </row>
    <row r="96" customFormat="false" ht="15" hidden="false" customHeight="false" outlineLevel="0" collapsed="false">
      <c r="A96" s="3" t="s">
        <v>160</v>
      </c>
      <c r="B96" s="4" t="n">
        <v>43</v>
      </c>
      <c r="C96" s="4" t="n">
        <v>28900</v>
      </c>
      <c r="D96" s="4" t="n">
        <v>5</v>
      </c>
      <c r="E96" s="5" t="n">
        <v>44.62</v>
      </c>
      <c r="F96" s="4" t="n">
        <v>7</v>
      </c>
      <c r="G96" s="5" t="n">
        <v>0.64</v>
      </c>
      <c r="H96" s="4" t="n">
        <v>63</v>
      </c>
      <c r="I96" s="4" t="n">
        <v>0</v>
      </c>
      <c r="J96" s="4" t="n">
        <v>1</v>
      </c>
      <c r="K96" s="5" t="n">
        <v>0.27</v>
      </c>
      <c r="L96" s="4" t="n">
        <v>0</v>
      </c>
      <c r="M96" s="6" t="n">
        <f aca="false">$R$2 + SUMPRODUCT(B96:K96,$S$2:$AB$2)</f>
        <v>0.0203538100000005</v>
      </c>
      <c r="N96" s="6" t="n">
        <f aca="false">1/(1+EXP(-M96))</f>
        <v>0.505088276837961</v>
      </c>
      <c r="O96" s="6" t="n">
        <f aca="false">IF(L96=1,N96,1-N96)</f>
        <v>0.494911723162039</v>
      </c>
      <c r="P96" s="6" t="n">
        <f aca="false">LN(O96)</f>
        <v>-0.703375869363775</v>
      </c>
      <c r="AD96" s="8" t="n">
        <f aca="false">B96</f>
        <v>43</v>
      </c>
      <c r="AE96" s="8" t="n">
        <f aca="false">C96</f>
        <v>28900</v>
      </c>
      <c r="AF96" s="8" t="n">
        <f aca="false">D96</f>
        <v>5</v>
      </c>
      <c r="AG96" s="9" t="n">
        <f aca="false">E96*0.85</f>
        <v>37.927</v>
      </c>
      <c r="AH96" s="9" t="n">
        <f aca="false">F96*0.9</f>
        <v>6.3</v>
      </c>
      <c r="AI96" s="9" t="n">
        <f aca="false">G96</f>
        <v>0.64</v>
      </c>
      <c r="AJ96" s="9" t="n">
        <f aca="false">H96*1.2</f>
        <v>75.6</v>
      </c>
      <c r="AK96" s="8" t="n">
        <f aca="false">I96</f>
        <v>0</v>
      </c>
      <c r="AL96" s="8" t="n">
        <f aca="false">J96</f>
        <v>1</v>
      </c>
      <c r="AM96" s="9" t="n">
        <f aca="false">K96</f>
        <v>0.27</v>
      </c>
      <c r="AN96" s="6" t="n">
        <f aca="false">$R$2 + SUMPRODUCT(AD96:AM96,$S$2:$AB$2)</f>
        <v>-0.223348159</v>
      </c>
      <c r="AO96" s="6" t="n">
        <f aca="false">1/(1+EXP(-AN96))</f>
        <v>0.44439392460264</v>
      </c>
    </row>
    <row r="97" customFormat="false" ht="15" hidden="false" customHeight="false" outlineLevel="0" collapsed="false">
      <c r="A97" s="3" t="s">
        <v>161</v>
      </c>
      <c r="B97" s="4" t="n">
        <v>42</v>
      </c>
      <c r="C97" s="4" t="n">
        <v>29700</v>
      </c>
      <c r="D97" s="4" t="n">
        <v>5</v>
      </c>
      <c r="E97" s="5" t="n">
        <v>38.34</v>
      </c>
      <c r="F97" s="4" t="n">
        <v>6</v>
      </c>
      <c r="G97" s="5" t="n">
        <v>0.29</v>
      </c>
      <c r="H97" s="4" t="n">
        <v>48</v>
      </c>
      <c r="I97" s="4" t="n">
        <v>1</v>
      </c>
      <c r="J97" s="4" t="n">
        <v>0</v>
      </c>
      <c r="K97" s="5" t="n">
        <v>0.32</v>
      </c>
      <c r="L97" s="4" t="n">
        <v>0</v>
      </c>
      <c r="M97" s="6" t="n">
        <f aca="false">$R$2 + SUMPRODUCT(B97:K97,$S$2:$AB$2)</f>
        <v>-0.48917363</v>
      </c>
      <c r="N97" s="6" t="n">
        <f aca="false">1/(1+EXP(-M97))</f>
        <v>0.380088258623407</v>
      </c>
      <c r="O97" s="6" t="n">
        <f aca="false">IF(L97=1,N97,1-N97)</f>
        <v>0.619911741376593</v>
      </c>
      <c r="P97" s="6" t="n">
        <f aca="false">LN(O97)</f>
        <v>-0.478178163694494</v>
      </c>
      <c r="AD97" s="8" t="n">
        <f aca="false">B97</f>
        <v>42</v>
      </c>
      <c r="AE97" s="8" t="n">
        <f aca="false">C97</f>
        <v>29700</v>
      </c>
      <c r="AF97" s="8" t="n">
        <f aca="false">D97</f>
        <v>5</v>
      </c>
      <c r="AG97" s="9" t="n">
        <f aca="false">E97*0.85</f>
        <v>32.589</v>
      </c>
      <c r="AH97" s="9" t="n">
        <f aca="false">F97*0.9</f>
        <v>5.4</v>
      </c>
      <c r="AI97" s="9" t="n">
        <f aca="false">G97</f>
        <v>0.29</v>
      </c>
      <c r="AJ97" s="9" t="n">
        <f aca="false">H97*1.2</f>
        <v>57.6</v>
      </c>
      <c r="AK97" s="8" t="n">
        <f aca="false">I97</f>
        <v>1</v>
      </c>
      <c r="AL97" s="8" t="n">
        <f aca="false">J97</f>
        <v>0</v>
      </c>
      <c r="AM97" s="9" t="n">
        <f aca="false">K97</f>
        <v>0.32</v>
      </c>
      <c r="AN97" s="6" t="n">
        <f aca="false">$R$2 + SUMPRODUCT(AD97:AM97,$S$2:$AB$2)</f>
        <v>-0.691341413</v>
      </c>
      <c r="AO97" s="6" t="n">
        <f aca="false">1/(1+EXP(-AN97))</f>
        <v>0.333734735710812</v>
      </c>
    </row>
    <row r="98" customFormat="false" ht="15" hidden="false" customHeight="false" outlineLevel="0" collapsed="false">
      <c r="A98" s="3" t="s">
        <v>162</v>
      </c>
      <c r="B98" s="4" t="n">
        <v>62</v>
      </c>
      <c r="C98" s="4" t="n">
        <v>42100</v>
      </c>
      <c r="D98" s="4" t="n">
        <v>9</v>
      </c>
      <c r="E98" s="5" t="n">
        <v>118.12</v>
      </c>
      <c r="F98" s="4" t="n">
        <v>3</v>
      </c>
      <c r="G98" s="5" t="n">
        <v>0.44</v>
      </c>
      <c r="H98" s="4" t="n">
        <v>87</v>
      </c>
      <c r="I98" s="4" t="n">
        <v>1</v>
      </c>
      <c r="J98" s="4" t="n">
        <v>1</v>
      </c>
      <c r="K98" s="5" t="n">
        <v>0.37</v>
      </c>
      <c r="L98" s="4" t="n">
        <v>1</v>
      </c>
      <c r="M98" s="6" t="n">
        <f aca="false">$R$2 + SUMPRODUCT(B98:K98,$S$2:$AB$2)</f>
        <v>1.75458241</v>
      </c>
      <c r="N98" s="6" t="n">
        <f aca="false">1/(1+EXP(-M98))</f>
        <v>0.852529846129115</v>
      </c>
      <c r="O98" s="6" t="n">
        <f aca="false">IF(L98=1,N98,1-N98)</f>
        <v>0.852529846129115</v>
      </c>
      <c r="P98" s="6" t="n">
        <f aca="false">LN(O98)</f>
        <v>-0.159547060315176</v>
      </c>
      <c r="AD98" s="8" t="n">
        <f aca="false">B98</f>
        <v>62</v>
      </c>
      <c r="AE98" s="8" t="n">
        <f aca="false">C98</f>
        <v>42100</v>
      </c>
      <c r="AF98" s="8" t="n">
        <f aca="false">D98</f>
        <v>9</v>
      </c>
      <c r="AG98" s="9" t="n">
        <f aca="false">E98*0.85</f>
        <v>100.402</v>
      </c>
      <c r="AH98" s="9" t="n">
        <f aca="false">F98*0.9</f>
        <v>2.7</v>
      </c>
      <c r="AI98" s="9" t="n">
        <f aca="false">G98</f>
        <v>0.44</v>
      </c>
      <c r="AJ98" s="9" t="n">
        <f aca="false">H98*1.2</f>
        <v>104.4</v>
      </c>
      <c r="AK98" s="8" t="n">
        <f aca="false">I98</f>
        <v>1</v>
      </c>
      <c r="AL98" s="8" t="n">
        <f aca="false">J98</f>
        <v>1</v>
      </c>
      <c r="AM98" s="9" t="n">
        <f aca="false">K98</f>
        <v>0.37</v>
      </c>
      <c r="AN98" s="6" t="n">
        <f aca="false">$R$2 + SUMPRODUCT(AD98:AM98,$S$2:$AB$2)</f>
        <v>1.381568416</v>
      </c>
      <c r="AO98" s="6" t="n">
        <f aca="false">1/(1+EXP(-AN98))</f>
        <v>0.799242776611318</v>
      </c>
    </row>
    <row r="99" customFormat="false" ht="15" hidden="false" customHeight="false" outlineLevel="0" collapsed="false">
      <c r="A99" s="3" t="s">
        <v>163</v>
      </c>
      <c r="B99" s="4" t="n">
        <v>58</v>
      </c>
      <c r="C99" s="4" t="n">
        <v>51200</v>
      </c>
      <c r="D99" s="4" t="n">
        <v>8</v>
      </c>
      <c r="E99" s="5" t="n">
        <v>98.28</v>
      </c>
      <c r="F99" s="4" t="n">
        <v>4</v>
      </c>
      <c r="G99" s="5" t="n">
        <v>0.16</v>
      </c>
      <c r="H99" s="4" t="n">
        <v>304</v>
      </c>
      <c r="I99" s="4" t="n">
        <v>1</v>
      </c>
      <c r="J99" s="4" t="n">
        <v>0</v>
      </c>
      <c r="K99" s="5" t="n">
        <v>0.26</v>
      </c>
      <c r="L99" s="4" t="n">
        <v>0</v>
      </c>
      <c r="M99" s="6" t="n">
        <f aca="false">$R$2 + SUMPRODUCT(B99:K99,$S$2:$AB$2)</f>
        <v>-0.79621182</v>
      </c>
      <c r="N99" s="6" t="n">
        <f aca="false">1/(1+EXP(-M99))</f>
        <v>0.310836429915055</v>
      </c>
      <c r="O99" s="6" t="n">
        <f aca="false">IF(L99=1,N99,1-N99)</f>
        <v>0.689163570084945</v>
      </c>
      <c r="P99" s="6" t="n">
        <f aca="false">LN(O99)</f>
        <v>-0.372276633988693</v>
      </c>
      <c r="AD99" s="8" t="n">
        <f aca="false">B99</f>
        <v>58</v>
      </c>
      <c r="AE99" s="8" t="n">
        <f aca="false">C99</f>
        <v>51200</v>
      </c>
      <c r="AF99" s="8" t="n">
        <f aca="false">D99</f>
        <v>8</v>
      </c>
      <c r="AG99" s="9" t="n">
        <f aca="false">E99*0.85</f>
        <v>83.538</v>
      </c>
      <c r="AH99" s="9" t="n">
        <f aca="false">F99*0.9</f>
        <v>3.6</v>
      </c>
      <c r="AI99" s="9" t="n">
        <f aca="false">G99</f>
        <v>0.16</v>
      </c>
      <c r="AJ99" s="9" t="n">
        <f aca="false">H99*1.2</f>
        <v>364.8</v>
      </c>
      <c r="AK99" s="8" t="n">
        <f aca="false">I99</f>
        <v>1</v>
      </c>
      <c r="AL99" s="8" t="n">
        <f aca="false">J99</f>
        <v>0</v>
      </c>
      <c r="AM99" s="9" t="n">
        <f aca="false">K99</f>
        <v>0.26</v>
      </c>
      <c r="AN99" s="6" t="n">
        <f aca="false">$R$2 + SUMPRODUCT(AD99:AM99,$S$2:$AB$2)</f>
        <v>-1.390752706</v>
      </c>
      <c r="AO99" s="6" t="n">
        <f aca="false">1/(1+EXP(-AN99))</f>
        <v>0.19928761881148</v>
      </c>
    </row>
    <row r="100" customFormat="false" ht="15" hidden="false" customHeight="false" outlineLevel="0" collapsed="false">
      <c r="A100" s="3" t="s">
        <v>164</v>
      </c>
      <c r="B100" s="4" t="n">
        <v>46</v>
      </c>
      <c r="C100" s="4" t="n">
        <v>60600</v>
      </c>
      <c r="D100" s="4" t="n">
        <v>7</v>
      </c>
      <c r="E100" s="5" t="n">
        <v>113.01</v>
      </c>
      <c r="F100" s="4" t="n">
        <v>1</v>
      </c>
      <c r="G100" s="5" t="n">
        <v>0.4</v>
      </c>
      <c r="H100" s="4" t="n">
        <v>61</v>
      </c>
      <c r="I100" s="4" t="n">
        <v>1</v>
      </c>
      <c r="J100" s="4" t="n">
        <v>1</v>
      </c>
      <c r="K100" s="5" t="n">
        <v>0.52</v>
      </c>
      <c r="L100" s="4" t="n">
        <v>1</v>
      </c>
      <c r="M100" s="6" t="n">
        <f aca="false">$R$2 + SUMPRODUCT(B100:K100,$S$2:$AB$2)</f>
        <v>1.94038589</v>
      </c>
      <c r="N100" s="6" t="n">
        <f aca="false">1/(1+EXP(-M100))</f>
        <v>0.874394531418619</v>
      </c>
      <c r="O100" s="6" t="n">
        <f aca="false">IF(L100=1,N100,1-N100)</f>
        <v>0.874394531418619</v>
      </c>
      <c r="P100" s="6" t="n">
        <f aca="false">LN(O100)</f>
        <v>-0.134223596235181</v>
      </c>
      <c r="AD100" s="8" t="n">
        <f aca="false">B100</f>
        <v>46</v>
      </c>
      <c r="AE100" s="8" t="n">
        <f aca="false">C100</f>
        <v>60600</v>
      </c>
      <c r="AF100" s="8" t="n">
        <f aca="false">D100</f>
        <v>7</v>
      </c>
      <c r="AG100" s="9" t="n">
        <f aca="false">E100*0.85</f>
        <v>96.0585</v>
      </c>
      <c r="AH100" s="9" t="n">
        <f aca="false">F100*0.9</f>
        <v>0.9</v>
      </c>
      <c r="AI100" s="9" t="n">
        <f aca="false">G100</f>
        <v>0.4</v>
      </c>
      <c r="AJ100" s="9" t="n">
        <f aca="false">H100*1.2</f>
        <v>73.2</v>
      </c>
      <c r="AK100" s="8" t="n">
        <f aca="false">I100</f>
        <v>1</v>
      </c>
      <c r="AL100" s="8" t="n">
        <f aca="false">J100</f>
        <v>1</v>
      </c>
      <c r="AM100" s="9" t="n">
        <f aca="false">K100</f>
        <v>0.52</v>
      </c>
      <c r="AN100" s="6" t="n">
        <f aca="false">$R$2 + SUMPRODUCT(AD100:AM100,$S$2:$AB$2)</f>
        <v>1.6308224905</v>
      </c>
      <c r="AO100" s="6" t="n">
        <f aca="false">1/(1+EXP(-AN100))</f>
        <v>0.836282280577427</v>
      </c>
    </row>
    <row r="101" customFormat="false" ht="15" hidden="false" customHeight="false" outlineLevel="0" collapsed="false">
      <c r="A101" s="3" t="s">
        <v>165</v>
      </c>
      <c r="B101" s="4" t="n">
        <v>32</v>
      </c>
      <c r="C101" s="4" t="n">
        <v>81600</v>
      </c>
      <c r="D101" s="4" t="n">
        <v>7</v>
      </c>
      <c r="E101" s="5" t="n">
        <v>34.43</v>
      </c>
      <c r="F101" s="4" t="n">
        <v>4</v>
      </c>
      <c r="G101" s="5" t="n">
        <v>0.67</v>
      </c>
      <c r="H101" s="4" t="n">
        <v>334</v>
      </c>
      <c r="I101" s="4" t="n">
        <v>0</v>
      </c>
      <c r="J101" s="4" t="n">
        <v>0</v>
      </c>
      <c r="K101" s="5" t="n">
        <v>0.27</v>
      </c>
      <c r="L101" s="4" t="n">
        <v>0</v>
      </c>
      <c r="M101" s="6" t="n">
        <f aca="false">$R$2 + SUMPRODUCT(B101:K101,$S$2:$AB$2)</f>
        <v>-0.88813633</v>
      </c>
      <c r="N101" s="6" t="n">
        <f aca="false">1/(1+EXP(-M101))</f>
        <v>0.291494573170304</v>
      </c>
      <c r="O101" s="6" t="n">
        <f aca="false">IF(L101=1,N101,1-N101)</f>
        <v>0.708505426829696</v>
      </c>
      <c r="P101" s="6" t="n">
        <f aca="false">LN(O101)</f>
        <v>-0.344597560276366</v>
      </c>
      <c r="AD101" s="8" t="n">
        <f aca="false">B101</f>
        <v>32</v>
      </c>
      <c r="AE101" s="8" t="n">
        <f aca="false">C101</f>
        <v>81600</v>
      </c>
      <c r="AF101" s="8" t="n">
        <f aca="false">D101</f>
        <v>7</v>
      </c>
      <c r="AG101" s="9" t="n">
        <f aca="false">E101*0.85</f>
        <v>29.2655</v>
      </c>
      <c r="AH101" s="9" t="n">
        <f aca="false">F101*0.9</f>
        <v>3.6</v>
      </c>
      <c r="AI101" s="9" t="n">
        <f aca="false">G101</f>
        <v>0.67</v>
      </c>
      <c r="AJ101" s="9" t="n">
        <f aca="false">H101*1.2</f>
        <v>400.8</v>
      </c>
      <c r="AK101" s="8" t="n">
        <f aca="false">I101</f>
        <v>0</v>
      </c>
      <c r="AL101" s="8" t="n">
        <f aca="false">J101</f>
        <v>0</v>
      </c>
      <c r="AM101" s="9" t="n">
        <f aca="false">K101</f>
        <v>0.27</v>
      </c>
      <c r="AN101" s="6" t="n">
        <f aca="false">$R$2 + SUMPRODUCT(AD101:AM101,$S$2:$AB$2)</f>
        <v>-1.3885706585</v>
      </c>
      <c r="AO101" s="6" t="n">
        <f aca="false">1/(1+EXP(-AN101))</f>
        <v>0.199636041119931</v>
      </c>
    </row>
    <row r="102" customFormat="false" ht="15" hidden="false" customHeight="false" outlineLevel="0" collapsed="false">
      <c r="A102" s="3" t="s">
        <v>166</v>
      </c>
      <c r="B102" s="4" t="n">
        <v>62</v>
      </c>
      <c r="C102" s="4" t="n">
        <v>70400</v>
      </c>
      <c r="D102" s="4" t="n">
        <v>2</v>
      </c>
      <c r="E102" s="5" t="n">
        <v>66.78</v>
      </c>
      <c r="F102" s="4" t="n">
        <v>4</v>
      </c>
      <c r="G102" s="5" t="n">
        <v>0.41</v>
      </c>
      <c r="H102" s="4" t="n">
        <v>274</v>
      </c>
      <c r="I102" s="4" t="n">
        <v>0</v>
      </c>
      <c r="J102" s="4" t="n">
        <v>1</v>
      </c>
      <c r="K102" s="5" t="n">
        <v>0.39</v>
      </c>
      <c r="L102" s="4" t="n">
        <v>0</v>
      </c>
      <c r="M102" s="6" t="n">
        <f aca="false">$R$2 + SUMPRODUCT(B102:K102,$S$2:$AB$2)</f>
        <v>-1.31979628</v>
      </c>
      <c r="N102" s="6" t="n">
        <f aca="false">1/(1+EXP(-M102))</f>
        <v>0.210852189173678</v>
      </c>
      <c r="O102" s="6" t="n">
        <f aca="false">IF(L102=1,N102,1-N102)</f>
        <v>0.789147810826322</v>
      </c>
      <c r="P102" s="6" t="n">
        <f aca="false">LN(O102)</f>
        <v>-0.236801636231762</v>
      </c>
      <c r="AD102" s="8" t="n">
        <f aca="false">B102</f>
        <v>62</v>
      </c>
      <c r="AE102" s="8" t="n">
        <f aca="false">C102</f>
        <v>70400</v>
      </c>
      <c r="AF102" s="8" t="n">
        <f aca="false">D102</f>
        <v>2</v>
      </c>
      <c r="AG102" s="9" t="n">
        <f aca="false">E102*0.85</f>
        <v>56.763</v>
      </c>
      <c r="AH102" s="9" t="n">
        <f aca="false">F102*0.9</f>
        <v>3.6</v>
      </c>
      <c r="AI102" s="9" t="n">
        <f aca="false">G102</f>
        <v>0.41</v>
      </c>
      <c r="AJ102" s="9" t="n">
        <f aca="false">H102*1.2</f>
        <v>328.8</v>
      </c>
      <c r="AK102" s="8" t="n">
        <f aca="false">I102</f>
        <v>0</v>
      </c>
      <c r="AL102" s="8" t="n">
        <f aca="false">J102</f>
        <v>1</v>
      </c>
      <c r="AM102" s="9" t="n">
        <f aca="false">K102</f>
        <v>0.39</v>
      </c>
      <c r="AN102" s="6" t="n">
        <f aca="false">$R$2 + SUMPRODUCT(AD102:AM102,$S$2:$AB$2)</f>
        <v>-1.816318241</v>
      </c>
      <c r="AO102" s="6" t="n">
        <f aca="false">1/(1+EXP(-AN102))</f>
        <v>0.139876241590486</v>
      </c>
    </row>
    <row r="103" customFormat="false" ht="15" hidden="false" customHeight="false" outlineLevel="0" collapsed="false">
      <c r="A103" s="3" t="s">
        <v>167</v>
      </c>
      <c r="B103" s="4" t="n">
        <v>18</v>
      </c>
      <c r="C103" s="4" t="n">
        <v>52100</v>
      </c>
      <c r="D103" s="4" t="n">
        <v>7</v>
      </c>
      <c r="E103" s="5" t="n">
        <v>32.66</v>
      </c>
      <c r="F103" s="4" t="n">
        <v>1</v>
      </c>
      <c r="G103" s="5" t="n">
        <v>0.33</v>
      </c>
      <c r="H103" s="4" t="n">
        <v>284</v>
      </c>
      <c r="I103" s="4" t="n">
        <v>1</v>
      </c>
      <c r="J103" s="4" t="n">
        <v>0</v>
      </c>
      <c r="K103" s="5" t="n">
        <v>0.2</v>
      </c>
      <c r="L103" s="4" t="n">
        <v>0</v>
      </c>
      <c r="M103" s="6" t="n">
        <f aca="false">$R$2 + SUMPRODUCT(B103:K103,$S$2:$AB$2)</f>
        <v>-1.40541119</v>
      </c>
      <c r="N103" s="6" t="n">
        <f aca="false">1/(1+EXP(-M103))</f>
        <v>0.196958841189148</v>
      </c>
      <c r="O103" s="6" t="n">
        <f aca="false">IF(L103=1,N103,1-N103)</f>
        <v>0.803041158810852</v>
      </c>
      <c r="P103" s="6" t="n">
        <f aca="false">LN(O103)</f>
        <v>-0.219349310046504</v>
      </c>
      <c r="AD103" s="8" t="n">
        <f aca="false">B103</f>
        <v>18</v>
      </c>
      <c r="AE103" s="8" t="n">
        <f aca="false">C103</f>
        <v>52100</v>
      </c>
      <c r="AF103" s="8" t="n">
        <f aca="false">D103</f>
        <v>7</v>
      </c>
      <c r="AG103" s="9" t="n">
        <f aca="false">E103*0.85</f>
        <v>27.761</v>
      </c>
      <c r="AH103" s="9" t="n">
        <f aca="false">F103*0.9</f>
        <v>0.9</v>
      </c>
      <c r="AI103" s="9" t="n">
        <f aca="false">G103</f>
        <v>0.33</v>
      </c>
      <c r="AJ103" s="9" t="n">
        <f aca="false">H103*1.2</f>
        <v>340.8</v>
      </c>
      <c r="AK103" s="8" t="n">
        <f aca="false">I103</f>
        <v>1</v>
      </c>
      <c r="AL103" s="8" t="n">
        <f aca="false">J103</f>
        <v>0</v>
      </c>
      <c r="AM103" s="9" t="n">
        <f aca="false">K103</f>
        <v>0.2</v>
      </c>
      <c r="AN103" s="6" t="n">
        <f aca="false">$R$2 + SUMPRODUCT(AD103:AM103,$S$2:$AB$2)</f>
        <v>-1.809880157</v>
      </c>
      <c r="AO103" s="6" t="n">
        <f aca="false">1/(1+EXP(-AN103))</f>
        <v>0.14065261046826</v>
      </c>
    </row>
    <row r="104" customFormat="false" ht="15" hidden="false" customHeight="false" outlineLevel="0" collapsed="false">
      <c r="A104" s="3" t="s">
        <v>168</v>
      </c>
      <c r="B104" s="4" t="n">
        <v>42</v>
      </c>
      <c r="C104" s="4" t="n">
        <v>54700</v>
      </c>
      <c r="D104" s="4" t="n">
        <v>5</v>
      </c>
      <c r="E104" s="5" t="n">
        <v>47.61</v>
      </c>
      <c r="F104" s="4" t="n">
        <v>2</v>
      </c>
      <c r="G104" s="5" t="n">
        <v>0.3</v>
      </c>
      <c r="H104" s="4" t="n">
        <v>80</v>
      </c>
      <c r="I104" s="4" t="n">
        <v>0</v>
      </c>
      <c r="J104" s="4" t="n">
        <v>0</v>
      </c>
      <c r="K104" s="5" t="n">
        <v>0.33</v>
      </c>
      <c r="L104" s="4" t="n">
        <v>0</v>
      </c>
      <c r="M104" s="6" t="n">
        <f aca="false">$R$2 + SUMPRODUCT(B104:K104,$S$2:$AB$2)</f>
        <v>-1.13537768</v>
      </c>
      <c r="N104" s="6" t="n">
        <f aca="false">1/(1+EXP(-M104))</f>
        <v>0.243170035026917</v>
      </c>
      <c r="O104" s="6" t="n">
        <f aca="false">IF(L104=1,N104,1-N104)</f>
        <v>0.756829964973083</v>
      </c>
      <c r="P104" s="6" t="n">
        <f aca="false">LN(O104)</f>
        <v>-0.27861666771926</v>
      </c>
      <c r="AD104" s="8" t="n">
        <f aca="false">B104</f>
        <v>42</v>
      </c>
      <c r="AE104" s="8" t="n">
        <f aca="false">C104</f>
        <v>54700</v>
      </c>
      <c r="AF104" s="8" t="n">
        <f aca="false">D104</f>
        <v>5</v>
      </c>
      <c r="AG104" s="9" t="n">
        <f aca="false">E104*0.85</f>
        <v>40.4685</v>
      </c>
      <c r="AH104" s="9" t="n">
        <f aca="false">F104*0.9</f>
        <v>1.8</v>
      </c>
      <c r="AI104" s="9" t="n">
        <f aca="false">G104</f>
        <v>0.3</v>
      </c>
      <c r="AJ104" s="9" t="n">
        <f aca="false">H104*1.2</f>
        <v>96</v>
      </c>
      <c r="AK104" s="8" t="n">
        <f aca="false">I104</f>
        <v>0</v>
      </c>
      <c r="AL104" s="8" t="n">
        <f aca="false">J104</f>
        <v>0</v>
      </c>
      <c r="AM104" s="9" t="n">
        <f aca="false">K104</f>
        <v>0.33</v>
      </c>
      <c r="AN104" s="6" t="n">
        <f aca="false">$R$2 + SUMPRODUCT(AD104:AM104,$S$2:$AB$2)</f>
        <v>-1.3466500495</v>
      </c>
      <c r="AO104" s="6" t="n">
        <f aca="false">1/(1+EXP(-AN104))</f>
        <v>0.206418587365297</v>
      </c>
    </row>
    <row r="105" customFormat="false" ht="15" hidden="false" customHeight="false" outlineLevel="0" collapsed="false">
      <c r="A105" s="3" t="s">
        <v>169</v>
      </c>
      <c r="B105" s="4" t="n">
        <v>24</v>
      </c>
      <c r="C105" s="4" t="n">
        <v>37000</v>
      </c>
      <c r="D105" s="4" t="n">
        <v>3</v>
      </c>
      <c r="E105" s="5" t="n">
        <v>42.05</v>
      </c>
      <c r="F105" s="4" t="n">
        <v>6</v>
      </c>
      <c r="G105" s="5" t="n">
        <v>0.55</v>
      </c>
      <c r="H105" s="4" t="n">
        <v>180</v>
      </c>
      <c r="I105" s="4" t="n">
        <v>1</v>
      </c>
      <c r="J105" s="4" t="n">
        <v>1</v>
      </c>
      <c r="K105" s="5" t="n">
        <v>0.23</v>
      </c>
      <c r="L105" s="4" t="n">
        <v>0</v>
      </c>
      <c r="M105" s="6" t="n">
        <f aca="false">$R$2 + SUMPRODUCT(B105:K105,$S$2:$AB$2)</f>
        <v>-0.24563371</v>
      </c>
      <c r="N105" s="6" t="n">
        <f aca="false">1/(1+EXP(-M105))</f>
        <v>0.438898482027528</v>
      </c>
      <c r="O105" s="6" t="n">
        <f aca="false">IF(L105=1,N105,1-N105)</f>
        <v>0.561101517972472</v>
      </c>
      <c r="P105" s="6" t="n">
        <f aca="false">LN(O105)</f>
        <v>-0.577853430877825</v>
      </c>
      <c r="AD105" s="8" t="n">
        <f aca="false">B105</f>
        <v>24</v>
      </c>
      <c r="AE105" s="8" t="n">
        <f aca="false">C105</f>
        <v>37000</v>
      </c>
      <c r="AF105" s="8" t="n">
        <f aca="false">D105</f>
        <v>3</v>
      </c>
      <c r="AG105" s="9" t="n">
        <f aca="false">E105*0.85</f>
        <v>35.7425</v>
      </c>
      <c r="AH105" s="9" t="n">
        <f aca="false">F105*0.9</f>
        <v>5.4</v>
      </c>
      <c r="AI105" s="9" t="n">
        <f aca="false">G105</f>
        <v>0.55</v>
      </c>
      <c r="AJ105" s="9" t="n">
        <f aca="false">H105*1.2</f>
        <v>216</v>
      </c>
      <c r="AK105" s="8" t="n">
        <f aca="false">I105</f>
        <v>1</v>
      </c>
      <c r="AL105" s="8" t="n">
        <f aca="false">J105</f>
        <v>1</v>
      </c>
      <c r="AM105" s="9" t="n">
        <f aca="false">K105</f>
        <v>0.23</v>
      </c>
      <c r="AN105" s="6" t="n">
        <f aca="false">$R$2 + SUMPRODUCT(AD105:AM105,$S$2:$AB$2)</f>
        <v>-0.607288157499999</v>
      </c>
      <c r="AO105" s="6" t="n">
        <f aca="false">1/(1+EXP(-AN105))</f>
        <v>0.352678053756061</v>
      </c>
    </row>
    <row r="106" customFormat="false" ht="15" hidden="false" customHeight="false" outlineLevel="0" collapsed="false">
      <c r="A106" s="3" t="s">
        <v>170</v>
      </c>
      <c r="B106" s="4" t="n">
        <v>26</v>
      </c>
      <c r="C106" s="4" t="n">
        <v>54700</v>
      </c>
      <c r="D106" s="4" t="n">
        <v>5</v>
      </c>
      <c r="E106" s="5" t="n">
        <v>95.99</v>
      </c>
      <c r="F106" s="4" t="n">
        <v>4</v>
      </c>
      <c r="G106" s="5" t="n">
        <v>0.24</v>
      </c>
      <c r="H106" s="4" t="n">
        <v>272</v>
      </c>
      <c r="I106" s="4" t="n">
        <v>1</v>
      </c>
      <c r="J106" s="4" t="n">
        <v>1</v>
      </c>
      <c r="K106" s="5" t="n">
        <v>0.22</v>
      </c>
      <c r="L106" s="4" t="n">
        <v>0</v>
      </c>
      <c r="M106" s="6" t="n">
        <f aca="false">$R$2 + SUMPRODUCT(B106:K106,$S$2:$AB$2)</f>
        <v>-0.0442160299999994</v>
      </c>
      <c r="N106" s="6" t="n">
        <f aca="false">1/(1+EXP(-M106))</f>
        <v>0.488947793082823</v>
      </c>
      <c r="O106" s="6" t="n">
        <f aca="false">IF(L106=1,N106,1-N106)</f>
        <v>0.511052206917177</v>
      </c>
      <c r="P106" s="6" t="n">
        <f aca="false">LN(O106)</f>
        <v>-0.671283527818613</v>
      </c>
      <c r="AD106" s="8" t="n">
        <f aca="false">B106</f>
        <v>26</v>
      </c>
      <c r="AE106" s="8" t="n">
        <f aca="false">C106</f>
        <v>54700</v>
      </c>
      <c r="AF106" s="8" t="n">
        <f aca="false">D106</f>
        <v>5</v>
      </c>
      <c r="AG106" s="9" t="n">
        <f aca="false">E106*0.85</f>
        <v>81.5915</v>
      </c>
      <c r="AH106" s="9" t="n">
        <f aca="false">F106*0.9</f>
        <v>3.6</v>
      </c>
      <c r="AI106" s="9" t="n">
        <f aca="false">G106</f>
        <v>0.24</v>
      </c>
      <c r="AJ106" s="9" t="n">
        <f aca="false">H106*1.2</f>
        <v>326.4</v>
      </c>
      <c r="AK106" s="8" t="n">
        <f aca="false">I106</f>
        <v>1</v>
      </c>
      <c r="AL106" s="8" t="n">
        <f aca="false">J106</f>
        <v>1</v>
      </c>
      <c r="AM106" s="9" t="n">
        <f aca="false">K106</f>
        <v>0.22</v>
      </c>
      <c r="AN106" s="6" t="n">
        <f aca="false">$R$2 + SUMPRODUCT(AD106:AM106,$S$2:$AB$2)</f>
        <v>-0.5972914805</v>
      </c>
      <c r="AO106" s="6" t="n">
        <f aca="false">1/(1+EXP(-AN106))</f>
        <v>0.354963604534618</v>
      </c>
    </row>
    <row r="107" customFormat="false" ht="15" hidden="false" customHeight="false" outlineLevel="0" collapsed="false">
      <c r="A107" s="3" t="s">
        <v>171</v>
      </c>
      <c r="B107" s="4" t="n">
        <v>41</v>
      </c>
      <c r="C107" s="4" t="n">
        <v>49800</v>
      </c>
      <c r="D107" s="4" t="n">
        <v>4</v>
      </c>
      <c r="E107" s="5" t="n">
        <v>55.09</v>
      </c>
      <c r="F107" s="4" t="n">
        <v>2</v>
      </c>
      <c r="G107" s="5" t="n">
        <v>0.7</v>
      </c>
      <c r="H107" s="4" t="n">
        <v>77</v>
      </c>
      <c r="I107" s="4" t="n">
        <v>1</v>
      </c>
      <c r="J107" s="4" t="n">
        <v>1</v>
      </c>
      <c r="K107" s="5" t="n">
        <v>0.15</v>
      </c>
      <c r="L107" s="4" t="n">
        <v>0</v>
      </c>
      <c r="M107" s="6" t="n">
        <f aca="false">$R$2 + SUMPRODUCT(B107:K107,$S$2:$AB$2)</f>
        <v>0.502286620000001</v>
      </c>
      <c r="N107" s="6" t="n">
        <f aca="false">1/(1+EXP(-M107))</f>
        <v>0.622996544726742</v>
      </c>
      <c r="O107" s="6" t="n">
        <f aca="false">IF(L107=1,N107,1-N107)</f>
        <v>0.377003455273258</v>
      </c>
      <c r="P107" s="6" t="n">
        <f aca="false">LN(O107)</f>
        <v>-0.97550092639507</v>
      </c>
      <c r="AD107" s="8" t="n">
        <f aca="false">B107</f>
        <v>41</v>
      </c>
      <c r="AE107" s="8" t="n">
        <f aca="false">C107</f>
        <v>49800</v>
      </c>
      <c r="AF107" s="8" t="n">
        <f aca="false">D107</f>
        <v>4</v>
      </c>
      <c r="AG107" s="9" t="n">
        <f aca="false">E107*0.85</f>
        <v>46.8265</v>
      </c>
      <c r="AH107" s="9" t="n">
        <f aca="false">F107*0.9</f>
        <v>1.8</v>
      </c>
      <c r="AI107" s="9" t="n">
        <f aca="false">G107</f>
        <v>0.7</v>
      </c>
      <c r="AJ107" s="9" t="n">
        <f aca="false">H107*1.2</f>
        <v>92.4</v>
      </c>
      <c r="AK107" s="8" t="n">
        <f aca="false">I107</f>
        <v>1</v>
      </c>
      <c r="AL107" s="8" t="n">
        <f aca="false">J107</f>
        <v>1</v>
      </c>
      <c r="AM107" s="9" t="n">
        <f aca="false">K107</f>
        <v>0.15</v>
      </c>
      <c r="AN107" s="6" t="n">
        <f aca="false">$R$2 + SUMPRODUCT(AD107:AM107,$S$2:$AB$2)</f>
        <v>0.2793972245</v>
      </c>
      <c r="AO107" s="6" t="n">
        <f aca="false">1/(1+EXP(-AN107))</f>
        <v>0.569398439304016</v>
      </c>
    </row>
    <row r="108" customFormat="false" ht="15" hidden="false" customHeight="false" outlineLevel="0" collapsed="false">
      <c r="A108" s="3" t="s">
        <v>172</v>
      </c>
      <c r="B108" s="4" t="n">
        <v>18</v>
      </c>
      <c r="C108" s="4" t="n">
        <v>60800</v>
      </c>
      <c r="D108" s="4" t="n">
        <v>8</v>
      </c>
      <c r="E108" s="5" t="n">
        <v>91.71</v>
      </c>
      <c r="F108" s="4" t="n">
        <v>7</v>
      </c>
      <c r="G108" s="5" t="n">
        <v>0.79</v>
      </c>
      <c r="H108" s="4" t="n">
        <v>221</v>
      </c>
      <c r="I108" s="4" t="n">
        <v>1</v>
      </c>
      <c r="J108" s="4" t="n">
        <v>1</v>
      </c>
      <c r="K108" s="5" t="n">
        <v>0.32</v>
      </c>
      <c r="L108" s="4" t="n">
        <v>0</v>
      </c>
      <c r="M108" s="6" t="n">
        <f aca="false">$R$2 + SUMPRODUCT(B108:K108,$S$2:$AB$2)</f>
        <v>2.36198508</v>
      </c>
      <c r="N108" s="6" t="n">
        <f aca="false">1/(1+EXP(-M108))</f>
        <v>0.913882162797634</v>
      </c>
      <c r="O108" s="6" t="n">
        <f aca="false">IF(L108=1,N108,1-N108)</f>
        <v>0.0861178372023661</v>
      </c>
      <c r="P108" s="6" t="n">
        <f aca="false">LN(O108)</f>
        <v>-2.45203872056856</v>
      </c>
      <c r="AD108" s="8" t="n">
        <f aca="false">B108</f>
        <v>18</v>
      </c>
      <c r="AE108" s="8" t="n">
        <f aca="false">C108</f>
        <v>60800</v>
      </c>
      <c r="AF108" s="8" t="n">
        <f aca="false">D108</f>
        <v>8</v>
      </c>
      <c r="AG108" s="9" t="n">
        <f aca="false">E108*0.85</f>
        <v>77.9535</v>
      </c>
      <c r="AH108" s="9" t="n">
        <f aca="false">F108*0.9</f>
        <v>6.3</v>
      </c>
      <c r="AI108" s="9" t="n">
        <f aca="false">G108</f>
        <v>0.79</v>
      </c>
      <c r="AJ108" s="9" t="n">
        <f aca="false">H108*1.2</f>
        <v>265.2</v>
      </c>
      <c r="AK108" s="8" t="n">
        <f aca="false">I108</f>
        <v>1</v>
      </c>
      <c r="AL108" s="8" t="n">
        <f aca="false">J108</f>
        <v>1</v>
      </c>
      <c r="AM108" s="9" t="n">
        <f aca="false">K108</f>
        <v>0.32</v>
      </c>
      <c r="AN108" s="6" t="n">
        <f aca="false">$R$2 + SUMPRODUCT(AD108:AM108,$S$2:$AB$2)</f>
        <v>1.8414463155</v>
      </c>
      <c r="AO108" s="6" t="n">
        <f aca="false">1/(1+EXP(-AN108))</f>
        <v>0.863119670832055</v>
      </c>
    </row>
    <row r="109" customFormat="false" ht="15" hidden="false" customHeight="false" outlineLevel="0" collapsed="false">
      <c r="A109" s="3" t="s">
        <v>173</v>
      </c>
      <c r="B109" s="4" t="n">
        <v>61</v>
      </c>
      <c r="C109" s="4" t="n">
        <v>40100</v>
      </c>
      <c r="D109" s="4" t="n">
        <v>8</v>
      </c>
      <c r="E109" s="5" t="n">
        <v>80.1</v>
      </c>
      <c r="F109" s="4" t="n">
        <v>5</v>
      </c>
      <c r="G109" s="5" t="n">
        <v>0.2</v>
      </c>
      <c r="H109" s="4" t="n">
        <v>282</v>
      </c>
      <c r="I109" s="4" t="n">
        <v>0</v>
      </c>
      <c r="J109" s="4" t="n">
        <v>1</v>
      </c>
      <c r="K109" s="5" t="n">
        <v>0.31</v>
      </c>
      <c r="L109" s="4" t="n">
        <v>0</v>
      </c>
      <c r="M109" s="6" t="n">
        <f aca="false">$R$2 + SUMPRODUCT(B109:K109,$S$2:$AB$2)</f>
        <v>-1.06016427</v>
      </c>
      <c r="N109" s="6" t="n">
        <f aca="false">1/(1+EXP(-M109))</f>
        <v>0.257278063738418</v>
      </c>
      <c r="O109" s="6" t="n">
        <f aca="false">IF(L109=1,N109,1-N109)</f>
        <v>0.742721936261582</v>
      </c>
      <c r="P109" s="6" t="n">
        <f aca="false">LN(O109)</f>
        <v>-0.297433548912198</v>
      </c>
      <c r="AD109" s="8" t="n">
        <f aca="false">B109</f>
        <v>61</v>
      </c>
      <c r="AE109" s="8" t="n">
        <f aca="false">C109</f>
        <v>40100</v>
      </c>
      <c r="AF109" s="8" t="n">
        <f aca="false">D109</f>
        <v>8</v>
      </c>
      <c r="AG109" s="9" t="n">
        <f aca="false">E109*0.85</f>
        <v>68.085</v>
      </c>
      <c r="AH109" s="9" t="n">
        <f aca="false">F109*0.9</f>
        <v>4.5</v>
      </c>
      <c r="AI109" s="9" t="n">
        <f aca="false">G109</f>
        <v>0.2</v>
      </c>
      <c r="AJ109" s="9" t="n">
        <f aca="false">H109*1.2</f>
        <v>338.4</v>
      </c>
      <c r="AK109" s="8" t="n">
        <f aca="false">I109</f>
        <v>0</v>
      </c>
      <c r="AL109" s="8" t="n">
        <f aca="false">J109</f>
        <v>1</v>
      </c>
      <c r="AM109" s="9" t="n">
        <f aca="false">K109</f>
        <v>0.31</v>
      </c>
      <c r="AN109" s="6" t="n">
        <f aca="false">$R$2 + SUMPRODUCT(AD109:AM109,$S$2:$AB$2)</f>
        <v>-1.604344465</v>
      </c>
      <c r="AO109" s="6" t="n">
        <f aca="false">1/(1+EXP(-AN109))</f>
        <v>0.167375291503856</v>
      </c>
    </row>
    <row r="110" customFormat="false" ht="15" hidden="false" customHeight="false" outlineLevel="0" collapsed="false">
      <c r="A110" s="3" t="s">
        <v>174</v>
      </c>
      <c r="B110" s="4" t="n">
        <v>25</v>
      </c>
      <c r="C110" s="4" t="n">
        <v>64300</v>
      </c>
      <c r="D110" s="4" t="n">
        <v>3</v>
      </c>
      <c r="E110" s="5" t="n">
        <v>122.59</v>
      </c>
      <c r="F110" s="4" t="n">
        <v>4</v>
      </c>
      <c r="G110" s="5" t="n">
        <v>0.27</v>
      </c>
      <c r="H110" s="4" t="n">
        <v>28</v>
      </c>
      <c r="I110" s="4" t="n">
        <v>1</v>
      </c>
      <c r="J110" s="4" t="n">
        <v>1</v>
      </c>
      <c r="K110" s="5" t="n">
        <v>0.15</v>
      </c>
      <c r="L110" s="4" t="n">
        <v>1</v>
      </c>
      <c r="M110" s="6" t="n">
        <f aca="false">$R$2 + SUMPRODUCT(B110:K110,$S$2:$AB$2)</f>
        <v>1.54213659</v>
      </c>
      <c r="N110" s="6" t="n">
        <f aca="false">1/(1+EXP(-M110))</f>
        <v>0.82377510790321</v>
      </c>
      <c r="O110" s="6" t="n">
        <f aca="false">IF(L110=1,N110,1-N110)</f>
        <v>0.82377510790321</v>
      </c>
      <c r="P110" s="6" t="n">
        <f aca="false">LN(O110)</f>
        <v>-0.193857713626029</v>
      </c>
      <c r="AD110" s="8" t="n">
        <f aca="false">B110</f>
        <v>25</v>
      </c>
      <c r="AE110" s="8" t="n">
        <f aca="false">C110</f>
        <v>64300</v>
      </c>
      <c r="AF110" s="8" t="n">
        <f aca="false">D110</f>
        <v>3</v>
      </c>
      <c r="AG110" s="9" t="n">
        <f aca="false">E110*0.85</f>
        <v>104.2015</v>
      </c>
      <c r="AH110" s="9" t="n">
        <f aca="false">F110*0.9</f>
        <v>3.6</v>
      </c>
      <c r="AI110" s="9" t="n">
        <f aca="false">G110</f>
        <v>0.27</v>
      </c>
      <c r="AJ110" s="9" t="n">
        <f aca="false">H110*1.2</f>
        <v>33.6</v>
      </c>
      <c r="AK110" s="8" t="n">
        <f aca="false">I110</f>
        <v>1</v>
      </c>
      <c r="AL110" s="8" t="n">
        <f aca="false">J110</f>
        <v>1</v>
      </c>
      <c r="AM110" s="9" t="n">
        <f aca="false">K110</f>
        <v>0.15</v>
      </c>
      <c r="AN110" s="6" t="n">
        <f aca="false">$R$2 + SUMPRODUCT(AD110:AM110,$S$2:$AB$2)</f>
        <v>1.2164538695</v>
      </c>
      <c r="AO110" s="6" t="n">
        <f aca="false">1/(1+EXP(-AN110))</f>
        <v>0.77143889433221</v>
      </c>
    </row>
    <row r="111" customFormat="false" ht="15" hidden="false" customHeight="false" outlineLevel="0" collapsed="false">
      <c r="A111" s="3" t="s">
        <v>175</v>
      </c>
      <c r="B111" s="4" t="n">
        <v>41</v>
      </c>
      <c r="C111" s="4" t="n">
        <v>82600</v>
      </c>
      <c r="D111" s="4" t="n">
        <v>4</v>
      </c>
      <c r="E111" s="5" t="n">
        <v>28.01</v>
      </c>
      <c r="F111" s="4" t="n">
        <v>6</v>
      </c>
      <c r="G111" s="5" t="n">
        <v>0.18</v>
      </c>
      <c r="H111" s="4" t="n">
        <v>361</v>
      </c>
      <c r="I111" s="4" t="n">
        <v>1</v>
      </c>
      <c r="J111" s="4" t="n">
        <v>1</v>
      </c>
      <c r="K111" s="5" t="n">
        <v>0.22</v>
      </c>
      <c r="L111" s="4" t="n">
        <v>1</v>
      </c>
      <c r="M111" s="6" t="n">
        <f aca="false">$R$2 + SUMPRODUCT(B111:K111,$S$2:$AB$2)</f>
        <v>-1.05708963</v>
      </c>
      <c r="N111" s="6" t="n">
        <f aca="false">1/(1+EXP(-M111))</f>
        <v>0.25786602290753</v>
      </c>
      <c r="O111" s="6" t="n">
        <f aca="false">IF(L111=1,N111,1-N111)</f>
        <v>0.25786602290753</v>
      </c>
      <c r="P111" s="6" t="n">
        <f aca="false">LN(O111)</f>
        <v>-1.3553151199949</v>
      </c>
      <c r="AD111" s="8" t="n">
        <f aca="false">B111</f>
        <v>41</v>
      </c>
      <c r="AE111" s="8" t="n">
        <f aca="false">C111</f>
        <v>82600</v>
      </c>
      <c r="AF111" s="8" t="n">
        <f aca="false">D111</f>
        <v>4</v>
      </c>
      <c r="AG111" s="9" t="n">
        <f aca="false">E111*0.85</f>
        <v>23.8085</v>
      </c>
      <c r="AH111" s="9" t="n">
        <f aca="false">F111*0.9</f>
        <v>5.4</v>
      </c>
      <c r="AI111" s="9" t="n">
        <f aca="false">G111</f>
        <v>0.18</v>
      </c>
      <c r="AJ111" s="9" t="n">
        <f aca="false">H111*1.2</f>
        <v>433.2</v>
      </c>
      <c r="AK111" s="8" t="n">
        <f aca="false">I111</f>
        <v>1</v>
      </c>
      <c r="AL111" s="8" t="n">
        <f aca="false">J111</f>
        <v>1</v>
      </c>
      <c r="AM111" s="9" t="n">
        <f aca="false">K111</f>
        <v>0.22</v>
      </c>
      <c r="AN111" s="6" t="n">
        <f aca="false">$R$2 + SUMPRODUCT(AD111:AM111,$S$2:$AB$2)</f>
        <v>-1.5988937795</v>
      </c>
      <c r="AO111" s="6" t="n">
        <f aca="false">1/(1+EXP(-AN111))</f>
        <v>0.168136281228816</v>
      </c>
    </row>
    <row r="112" customFormat="false" ht="15" hidden="false" customHeight="false" outlineLevel="0" collapsed="false">
      <c r="A112" s="3" t="s">
        <v>176</v>
      </c>
      <c r="B112" s="4" t="n">
        <v>28</v>
      </c>
      <c r="C112" s="4" t="n">
        <v>53000</v>
      </c>
      <c r="D112" s="4" t="n">
        <v>7</v>
      </c>
      <c r="E112" s="5" t="n">
        <v>96.48</v>
      </c>
      <c r="F112" s="4" t="n">
        <v>7</v>
      </c>
      <c r="G112" s="5" t="n">
        <v>0.68</v>
      </c>
      <c r="H112" s="4" t="n">
        <v>77</v>
      </c>
      <c r="I112" s="4" t="n">
        <v>1</v>
      </c>
      <c r="J112" s="4" t="n">
        <v>0</v>
      </c>
      <c r="K112" s="5" t="n">
        <v>0.12</v>
      </c>
      <c r="L112" s="4" t="n">
        <v>1</v>
      </c>
      <c r="M112" s="6" t="n">
        <f aca="false">$R$2 + SUMPRODUCT(B112:K112,$S$2:$AB$2)</f>
        <v>1.73240108</v>
      </c>
      <c r="N112" s="6" t="n">
        <f aca="false">1/(1+EXP(-M112))</f>
        <v>0.849719287104724</v>
      </c>
      <c r="O112" s="6" t="n">
        <f aca="false">IF(L112=1,N112,1-N112)</f>
        <v>0.849719287104724</v>
      </c>
      <c r="P112" s="6" t="n">
        <f aca="false">LN(O112)</f>
        <v>-0.1628492345075</v>
      </c>
      <c r="AD112" s="8" t="n">
        <f aca="false">B112</f>
        <v>28</v>
      </c>
      <c r="AE112" s="8" t="n">
        <f aca="false">C112</f>
        <v>53000</v>
      </c>
      <c r="AF112" s="8" t="n">
        <f aca="false">D112</f>
        <v>7</v>
      </c>
      <c r="AG112" s="9" t="n">
        <f aca="false">E112*0.85</f>
        <v>82.008</v>
      </c>
      <c r="AH112" s="9" t="n">
        <f aca="false">F112*0.9</f>
        <v>6.3</v>
      </c>
      <c r="AI112" s="9" t="n">
        <f aca="false">G112</f>
        <v>0.68</v>
      </c>
      <c r="AJ112" s="9" t="n">
        <f aca="false">H112*1.2</f>
        <v>92.4</v>
      </c>
      <c r="AK112" s="8" t="n">
        <f aca="false">I112</f>
        <v>1</v>
      </c>
      <c r="AL112" s="8" t="n">
        <f aca="false">J112</f>
        <v>0</v>
      </c>
      <c r="AM112" s="9" t="n">
        <f aca="false">K112</f>
        <v>0.12</v>
      </c>
      <c r="AN112" s="6" t="n">
        <f aca="false">$R$2 + SUMPRODUCT(AD112:AM112,$S$2:$AB$2)</f>
        <v>1.368081404</v>
      </c>
      <c r="AO112" s="6" t="n">
        <f aca="false">1/(1+EXP(-AN112))</f>
        <v>0.797069998656725</v>
      </c>
    </row>
    <row r="113" customFormat="false" ht="15" hidden="false" customHeight="false" outlineLevel="0" collapsed="false">
      <c r="A113" s="3" t="s">
        <v>177</v>
      </c>
      <c r="B113" s="4" t="n">
        <v>68</v>
      </c>
      <c r="C113" s="4" t="n">
        <v>62200</v>
      </c>
      <c r="D113" s="4" t="n">
        <v>4</v>
      </c>
      <c r="E113" s="5" t="n">
        <v>93.66</v>
      </c>
      <c r="F113" s="4" t="n">
        <v>3</v>
      </c>
      <c r="G113" s="5" t="n">
        <v>0.11</v>
      </c>
      <c r="H113" s="4" t="n">
        <v>164</v>
      </c>
      <c r="I113" s="4" t="n">
        <v>1</v>
      </c>
      <c r="J113" s="4" t="n">
        <v>0</v>
      </c>
      <c r="K113" s="5" t="n">
        <v>0.23</v>
      </c>
      <c r="L113" s="4" t="n">
        <v>1</v>
      </c>
      <c r="M113" s="6" t="n">
        <f aca="false">$R$2 + SUMPRODUCT(B113:K113,$S$2:$AB$2)</f>
        <v>-0.90332382</v>
      </c>
      <c r="N113" s="6" t="n">
        <f aca="false">1/(1+EXP(-M113))</f>
        <v>0.288367930559153</v>
      </c>
      <c r="O113" s="6" t="n">
        <f aca="false">IF(L113=1,N113,1-N113)</f>
        <v>0.288367930559153</v>
      </c>
      <c r="P113" s="6" t="n">
        <f aca="false">LN(O113)</f>
        <v>-1.24351807753807</v>
      </c>
      <c r="AD113" s="8" t="n">
        <f aca="false">B113</f>
        <v>68</v>
      </c>
      <c r="AE113" s="8" t="n">
        <f aca="false">C113</f>
        <v>62200</v>
      </c>
      <c r="AF113" s="8" t="n">
        <f aca="false">D113</f>
        <v>4</v>
      </c>
      <c r="AG113" s="9" t="n">
        <f aca="false">E113*0.85</f>
        <v>79.611</v>
      </c>
      <c r="AH113" s="9" t="n">
        <f aca="false">F113*0.9</f>
        <v>2.7</v>
      </c>
      <c r="AI113" s="9" t="n">
        <f aca="false">G113</f>
        <v>0.11</v>
      </c>
      <c r="AJ113" s="9" t="n">
        <f aca="false">H113*1.2</f>
        <v>196.8</v>
      </c>
      <c r="AK113" s="8" t="n">
        <f aca="false">I113</f>
        <v>1</v>
      </c>
      <c r="AL113" s="8" t="n">
        <f aca="false">J113</f>
        <v>0</v>
      </c>
      <c r="AM113" s="9" t="n">
        <f aca="false">K113</f>
        <v>0.23</v>
      </c>
      <c r="AN113" s="6" t="n">
        <f aca="false">$R$2 + SUMPRODUCT(AD113:AM113,$S$2:$AB$2)</f>
        <v>-1.315725337</v>
      </c>
      <c r="AO113" s="6" t="n">
        <f aca="false">1/(1+EXP(-AN113))</f>
        <v>0.211530365152049</v>
      </c>
    </row>
    <row r="114" customFormat="false" ht="15" hidden="false" customHeight="false" outlineLevel="0" collapsed="false">
      <c r="A114" s="3" t="s">
        <v>178</v>
      </c>
      <c r="B114" s="4" t="n">
        <v>34</v>
      </c>
      <c r="C114" s="4" t="n">
        <v>67400</v>
      </c>
      <c r="D114" s="4" t="n">
        <v>11</v>
      </c>
      <c r="E114" s="5" t="n">
        <v>40.67</v>
      </c>
      <c r="F114" s="4" t="n">
        <v>5</v>
      </c>
      <c r="G114" s="5" t="n">
        <v>0.41</v>
      </c>
      <c r="H114" s="4" t="n">
        <v>9</v>
      </c>
      <c r="I114" s="4" t="n">
        <v>0</v>
      </c>
      <c r="J114" s="4" t="n">
        <v>1</v>
      </c>
      <c r="K114" s="5" t="n">
        <v>0.32</v>
      </c>
      <c r="L114" s="4" t="n">
        <v>1</v>
      </c>
      <c r="M114" s="6" t="n">
        <f aca="false">$R$2 + SUMPRODUCT(B114:K114,$S$2:$AB$2)</f>
        <v>1.84657578</v>
      </c>
      <c r="N114" s="6" t="n">
        <f aca="false">1/(1+EXP(-M114))</f>
        <v>0.863724558826378</v>
      </c>
      <c r="O114" s="6" t="n">
        <f aca="false">IF(L114=1,N114,1-N114)</f>
        <v>0.863724558826378</v>
      </c>
      <c r="P114" s="6" t="n">
        <f aca="false">LN(O114)</f>
        <v>-0.146501358659511</v>
      </c>
      <c r="AD114" s="8" t="n">
        <f aca="false">B114</f>
        <v>34</v>
      </c>
      <c r="AE114" s="8" t="n">
        <f aca="false">C114</f>
        <v>67400</v>
      </c>
      <c r="AF114" s="8" t="n">
        <f aca="false">D114</f>
        <v>11</v>
      </c>
      <c r="AG114" s="9" t="n">
        <f aca="false">E114*0.85</f>
        <v>34.5695</v>
      </c>
      <c r="AH114" s="9" t="n">
        <f aca="false">F114*0.9</f>
        <v>4.5</v>
      </c>
      <c r="AI114" s="9" t="n">
        <f aca="false">G114</f>
        <v>0.41</v>
      </c>
      <c r="AJ114" s="9" t="n">
        <f aca="false">H114*1.2</f>
        <v>10.8</v>
      </c>
      <c r="AK114" s="8" t="n">
        <f aca="false">I114</f>
        <v>0</v>
      </c>
      <c r="AL114" s="8" t="n">
        <f aca="false">J114</f>
        <v>1</v>
      </c>
      <c r="AM114" s="9" t="n">
        <f aca="false">K114</f>
        <v>0.32</v>
      </c>
      <c r="AN114" s="6" t="n">
        <f aca="false">$R$2 + SUMPRODUCT(AD114:AM114,$S$2:$AB$2)</f>
        <v>1.6962318635</v>
      </c>
      <c r="AO114" s="6" t="n">
        <f aca="false">1/(1+EXP(-AN114))</f>
        <v>0.845041953605158</v>
      </c>
    </row>
    <row r="115" customFormat="false" ht="15" hidden="false" customHeight="false" outlineLevel="0" collapsed="false">
      <c r="A115" s="3" t="s">
        <v>179</v>
      </c>
      <c r="B115" s="4" t="n">
        <v>25</v>
      </c>
      <c r="C115" s="4" t="n">
        <v>47800</v>
      </c>
      <c r="D115" s="4" t="n">
        <v>5</v>
      </c>
      <c r="E115" s="5" t="n">
        <v>90.18</v>
      </c>
      <c r="F115" s="4" t="n">
        <v>6</v>
      </c>
      <c r="G115" s="5" t="n">
        <v>0.15</v>
      </c>
      <c r="H115" s="4" t="n">
        <v>175</v>
      </c>
      <c r="I115" s="4" t="n">
        <v>1</v>
      </c>
      <c r="J115" s="4" t="n">
        <v>0</v>
      </c>
      <c r="K115" s="5" t="n">
        <v>0.31</v>
      </c>
      <c r="L115" s="4" t="n">
        <v>0</v>
      </c>
      <c r="M115" s="6" t="n">
        <f aca="false">$R$2 + SUMPRODUCT(B115:K115,$S$2:$AB$2)</f>
        <v>-0.15434818</v>
      </c>
      <c r="N115" s="6" t="n">
        <f aca="false">1/(1+EXP(-M115))</f>
        <v>0.461489379028293</v>
      </c>
      <c r="O115" s="6" t="n">
        <f aca="false">IF(L115=1,N115,1-N115)</f>
        <v>0.538510620971707</v>
      </c>
      <c r="P115" s="6" t="n">
        <f aca="false">LN(O115)</f>
        <v>-0.618948059327257</v>
      </c>
      <c r="AD115" s="8" t="n">
        <f aca="false">B115</f>
        <v>25</v>
      </c>
      <c r="AE115" s="8" t="n">
        <f aca="false">C115</f>
        <v>47800</v>
      </c>
      <c r="AF115" s="8" t="n">
        <f aca="false">D115</f>
        <v>5</v>
      </c>
      <c r="AG115" s="9" t="n">
        <f aca="false">E115*0.85</f>
        <v>76.653</v>
      </c>
      <c r="AH115" s="9" t="n">
        <f aca="false">F115*0.9</f>
        <v>5.4</v>
      </c>
      <c r="AI115" s="9" t="n">
        <f aca="false">G115</f>
        <v>0.15</v>
      </c>
      <c r="AJ115" s="9" t="n">
        <f aca="false">H115*1.2</f>
        <v>210</v>
      </c>
      <c r="AK115" s="8" t="n">
        <f aca="false">I115</f>
        <v>1</v>
      </c>
      <c r="AL115" s="8" t="n">
        <f aca="false">J115</f>
        <v>0</v>
      </c>
      <c r="AM115" s="9" t="n">
        <f aca="false">K115</f>
        <v>0.31</v>
      </c>
      <c r="AN115" s="6" t="n">
        <f aca="false">$R$2 + SUMPRODUCT(AD115:AM115,$S$2:$AB$2)</f>
        <v>-0.607224171</v>
      </c>
      <c r="AO115" s="6" t="n">
        <f aca="false">1/(1+EXP(-AN115))</f>
        <v>0.352692661771387</v>
      </c>
    </row>
    <row r="116" customFormat="false" ht="15" hidden="false" customHeight="false" outlineLevel="0" collapsed="false">
      <c r="A116" s="3" t="s">
        <v>180</v>
      </c>
      <c r="B116" s="4" t="n">
        <v>52</v>
      </c>
      <c r="C116" s="4" t="n">
        <v>59000</v>
      </c>
      <c r="D116" s="4" t="n">
        <v>6</v>
      </c>
      <c r="E116" s="5" t="n">
        <v>73.4</v>
      </c>
      <c r="F116" s="4" t="n">
        <v>2</v>
      </c>
      <c r="G116" s="5" t="n">
        <v>0.46</v>
      </c>
      <c r="H116" s="4" t="n">
        <v>307</v>
      </c>
      <c r="I116" s="4" t="n">
        <v>1</v>
      </c>
      <c r="J116" s="4" t="n">
        <v>0</v>
      </c>
      <c r="K116" s="5" t="n">
        <v>0.37</v>
      </c>
      <c r="L116" s="4" t="n">
        <v>0</v>
      </c>
      <c r="M116" s="6" t="n">
        <f aca="false">$R$2 + SUMPRODUCT(B116:K116,$S$2:$AB$2)</f>
        <v>-0.88845593</v>
      </c>
      <c r="N116" s="6" t="n">
        <f aca="false">1/(1+EXP(-M116))</f>
        <v>0.291428572023433</v>
      </c>
      <c r="O116" s="6" t="n">
        <f aca="false">IF(L116=1,N116,1-N116)</f>
        <v>0.708571427976568</v>
      </c>
      <c r="P116" s="6" t="n">
        <f aca="false">LN(O116)</f>
        <v>-0.344504409157999</v>
      </c>
      <c r="AD116" s="8" t="n">
        <f aca="false">B116</f>
        <v>52</v>
      </c>
      <c r="AE116" s="8" t="n">
        <f aca="false">C116</f>
        <v>59000</v>
      </c>
      <c r="AF116" s="8" t="n">
        <f aca="false">D116</f>
        <v>6</v>
      </c>
      <c r="AG116" s="9" t="n">
        <f aca="false">E116*0.85</f>
        <v>62.39</v>
      </c>
      <c r="AH116" s="9" t="n">
        <f aca="false">F116*0.9</f>
        <v>1.8</v>
      </c>
      <c r="AI116" s="9" t="n">
        <f aca="false">G116</f>
        <v>0.46</v>
      </c>
      <c r="AJ116" s="9" t="n">
        <f aca="false">H116*1.2</f>
        <v>368.4</v>
      </c>
      <c r="AK116" s="8" t="n">
        <f aca="false">I116</f>
        <v>1</v>
      </c>
      <c r="AL116" s="8" t="n">
        <f aca="false">J116</f>
        <v>0</v>
      </c>
      <c r="AM116" s="9" t="n">
        <f aca="false">K116</f>
        <v>0.37</v>
      </c>
      <c r="AN116" s="6" t="n">
        <f aca="false">$R$2 + SUMPRODUCT(AD116:AM116,$S$2:$AB$2)</f>
        <v>-1.41310706</v>
      </c>
      <c r="AO116" s="6" t="n">
        <f aca="false">1/(1+EXP(-AN116))</f>
        <v>0.195744453928797</v>
      </c>
    </row>
    <row r="117" customFormat="false" ht="15" hidden="false" customHeight="false" outlineLevel="0" collapsed="false">
      <c r="A117" s="3" t="s">
        <v>181</v>
      </c>
      <c r="B117" s="4" t="n">
        <v>52</v>
      </c>
      <c r="C117" s="4" t="n">
        <v>55200</v>
      </c>
      <c r="D117" s="4" t="n">
        <v>4</v>
      </c>
      <c r="E117" s="5" t="n">
        <v>59.31</v>
      </c>
      <c r="F117" s="4" t="n">
        <v>5</v>
      </c>
      <c r="G117" s="5" t="n">
        <v>0.65</v>
      </c>
      <c r="H117" s="4" t="n">
        <v>76</v>
      </c>
      <c r="I117" s="4" t="n">
        <v>0</v>
      </c>
      <c r="J117" s="4" t="n">
        <v>1</v>
      </c>
      <c r="K117" s="5" t="n">
        <v>0.3</v>
      </c>
      <c r="L117" s="4" t="n">
        <v>0</v>
      </c>
      <c r="M117" s="6" t="n">
        <f aca="false">$R$2 + SUMPRODUCT(B117:K117,$S$2:$AB$2)</f>
        <v>0.273520280000001</v>
      </c>
      <c r="N117" s="6" t="n">
        <f aca="false">1/(1+EXP(-M117))</f>
        <v>0.567956923612035</v>
      </c>
      <c r="O117" s="6" t="n">
        <f aca="false">IF(L117=1,N117,1-N117)</f>
        <v>0.432043076387965</v>
      </c>
      <c r="P117" s="6" t="n">
        <f aca="false">LN(O117)</f>
        <v>-0.839229981848093</v>
      </c>
      <c r="AD117" s="8" t="n">
        <f aca="false">B117</f>
        <v>52</v>
      </c>
      <c r="AE117" s="8" t="n">
        <f aca="false">C117</f>
        <v>55200</v>
      </c>
      <c r="AF117" s="8" t="n">
        <f aca="false">D117</f>
        <v>4</v>
      </c>
      <c r="AG117" s="9" t="n">
        <f aca="false">E117*0.85</f>
        <v>50.4135</v>
      </c>
      <c r="AH117" s="9" t="n">
        <f aca="false">F117*0.9</f>
        <v>4.5</v>
      </c>
      <c r="AI117" s="9" t="n">
        <f aca="false">G117</f>
        <v>0.65</v>
      </c>
      <c r="AJ117" s="9" t="n">
        <f aca="false">H117*1.2</f>
        <v>91.2</v>
      </c>
      <c r="AK117" s="8" t="n">
        <f aca="false">I117</f>
        <v>0</v>
      </c>
      <c r="AL117" s="8" t="n">
        <f aca="false">J117</f>
        <v>1</v>
      </c>
      <c r="AM117" s="9" t="n">
        <f aca="false">K117</f>
        <v>0.3</v>
      </c>
      <c r="AN117" s="6" t="n">
        <f aca="false">$R$2 + SUMPRODUCT(AD117:AM117,$S$2:$AB$2)</f>
        <v>0.0084604955000005</v>
      </c>
      <c r="AO117" s="6" t="n">
        <f aca="false">1/(1+EXP(-AN117))</f>
        <v>0.502115111258379</v>
      </c>
    </row>
    <row r="118" customFormat="false" ht="15" hidden="false" customHeight="false" outlineLevel="0" collapsed="false">
      <c r="A118" s="3" t="s">
        <v>182</v>
      </c>
      <c r="B118" s="4" t="n">
        <v>50</v>
      </c>
      <c r="C118" s="4" t="n">
        <v>56800</v>
      </c>
      <c r="D118" s="4" t="n">
        <v>3</v>
      </c>
      <c r="E118" s="5" t="n">
        <v>44.4</v>
      </c>
      <c r="F118" s="4" t="n">
        <v>2</v>
      </c>
      <c r="G118" s="5" t="n">
        <v>0.43</v>
      </c>
      <c r="H118" s="4" t="n">
        <v>245</v>
      </c>
      <c r="I118" s="4" t="n">
        <v>1</v>
      </c>
      <c r="J118" s="4" t="n">
        <v>1</v>
      </c>
      <c r="K118" s="5" t="n">
        <v>0.25</v>
      </c>
      <c r="L118" s="4" t="n">
        <v>0</v>
      </c>
      <c r="M118" s="6" t="n">
        <f aca="false">$R$2 + SUMPRODUCT(B118:K118,$S$2:$AB$2)</f>
        <v>-1.07237802</v>
      </c>
      <c r="N118" s="6" t="n">
        <f aca="false">1/(1+EXP(-M118))</f>
        <v>0.254951113628238</v>
      </c>
      <c r="O118" s="6" t="n">
        <f aca="false">IF(L118=1,N118,1-N118)</f>
        <v>0.745048886371762</v>
      </c>
      <c r="P118" s="6" t="n">
        <f aca="false">LN(O118)</f>
        <v>-0.294305443464474</v>
      </c>
      <c r="AD118" s="8" t="n">
        <f aca="false">B118</f>
        <v>50</v>
      </c>
      <c r="AE118" s="8" t="n">
        <f aca="false">C118</f>
        <v>56800</v>
      </c>
      <c r="AF118" s="8" t="n">
        <f aca="false">D118</f>
        <v>3</v>
      </c>
      <c r="AG118" s="9" t="n">
        <f aca="false">E118*0.85</f>
        <v>37.74</v>
      </c>
      <c r="AH118" s="9" t="n">
        <f aca="false">F118*0.9</f>
        <v>1.8</v>
      </c>
      <c r="AI118" s="9" t="n">
        <f aca="false">G118</f>
        <v>0.43</v>
      </c>
      <c r="AJ118" s="9" t="n">
        <f aca="false">H118*1.2</f>
        <v>294</v>
      </c>
      <c r="AK118" s="8" t="n">
        <f aca="false">I118</f>
        <v>1</v>
      </c>
      <c r="AL118" s="8" t="n">
        <f aca="false">J118</f>
        <v>1</v>
      </c>
      <c r="AM118" s="9" t="n">
        <f aca="false">K118</f>
        <v>0.25</v>
      </c>
      <c r="AN118" s="6" t="n">
        <f aca="false">$R$2 + SUMPRODUCT(AD118:AM118,$S$2:$AB$2)</f>
        <v>-1.4671964</v>
      </c>
      <c r="AO118" s="6" t="n">
        <f aca="false">1/(1+EXP(-AN118))</f>
        <v>0.187369121415819</v>
      </c>
    </row>
    <row r="119" customFormat="false" ht="15" hidden="false" customHeight="false" outlineLevel="0" collapsed="false">
      <c r="A119" s="3" t="s">
        <v>183</v>
      </c>
      <c r="B119" s="4" t="n">
        <v>22</v>
      </c>
      <c r="C119" s="4" t="n">
        <v>41100</v>
      </c>
      <c r="D119" s="4" t="n">
        <v>7</v>
      </c>
      <c r="E119" s="5" t="n">
        <v>47.02</v>
      </c>
      <c r="F119" s="4" t="n">
        <v>3</v>
      </c>
      <c r="G119" s="5" t="n">
        <v>0.04</v>
      </c>
      <c r="H119" s="4" t="n">
        <v>122</v>
      </c>
      <c r="I119" s="4" t="n">
        <v>1</v>
      </c>
      <c r="J119" s="4" t="n">
        <v>1</v>
      </c>
      <c r="K119" s="5" t="n">
        <v>0.03</v>
      </c>
      <c r="L119" s="4" t="n">
        <v>0</v>
      </c>
      <c r="M119" s="6" t="n">
        <f aca="false">$R$2 + SUMPRODUCT(B119:K119,$S$2:$AB$2)</f>
        <v>-0.38987551</v>
      </c>
      <c r="N119" s="6" t="n">
        <f aca="false">1/(1+EXP(-M119))</f>
        <v>0.403747269495496</v>
      </c>
      <c r="O119" s="6" t="n">
        <f aca="false">IF(L119=1,N119,1-N119)</f>
        <v>0.596252730504504</v>
      </c>
      <c r="P119" s="6" t="n">
        <f aca="false">LN(O119)</f>
        <v>-0.517090657327592</v>
      </c>
      <c r="AD119" s="8" t="n">
        <f aca="false">B119</f>
        <v>22</v>
      </c>
      <c r="AE119" s="8" t="n">
        <f aca="false">C119</f>
        <v>41100</v>
      </c>
      <c r="AF119" s="8" t="n">
        <f aca="false">D119</f>
        <v>7</v>
      </c>
      <c r="AG119" s="9" t="n">
        <f aca="false">E119*0.85</f>
        <v>39.967</v>
      </c>
      <c r="AH119" s="9" t="n">
        <f aca="false">F119*0.9</f>
        <v>2.7</v>
      </c>
      <c r="AI119" s="9" t="n">
        <f aca="false">G119</f>
        <v>0.04</v>
      </c>
      <c r="AJ119" s="9" t="n">
        <f aca="false">H119*1.2</f>
        <v>146.4</v>
      </c>
      <c r="AK119" s="8" t="n">
        <f aca="false">I119</f>
        <v>1</v>
      </c>
      <c r="AL119" s="8" t="n">
        <f aca="false">J119</f>
        <v>1</v>
      </c>
      <c r="AM119" s="9" t="n">
        <f aca="false">K119</f>
        <v>0.03</v>
      </c>
      <c r="AN119" s="6" t="n">
        <f aca="false">$R$2 + SUMPRODUCT(AD119:AM119,$S$2:$AB$2)</f>
        <v>-0.659932559</v>
      </c>
      <c r="AO119" s="6" t="n">
        <f aca="false">1/(1+EXP(-AN119))</f>
        <v>0.340754761396482</v>
      </c>
    </row>
    <row r="120" customFormat="false" ht="15" hidden="false" customHeight="false" outlineLevel="0" collapsed="false">
      <c r="A120" s="3" t="s">
        <v>184</v>
      </c>
      <c r="B120" s="4" t="n">
        <v>59</v>
      </c>
      <c r="C120" s="4" t="n">
        <v>55400</v>
      </c>
      <c r="D120" s="4" t="n">
        <v>4</v>
      </c>
      <c r="E120" s="5" t="n">
        <v>116.25</v>
      </c>
      <c r="F120" s="4" t="n">
        <v>1</v>
      </c>
      <c r="G120" s="5" t="n">
        <v>0.47</v>
      </c>
      <c r="H120" s="4" t="n">
        <v>185</v>
      </c>
      <c r="I120" s="4" t="n">
        <v>1</v>
      </c>
      <c r="J120" s="4" t="n">
        <v>0</v>
      </c>
      <c r="K120" s="5" t="n">
        <v>0.48</v>
      </c>
      <c r="L120" s="4" t="n">
        <v>1</v>
      </c>
      <c r="M120" s="6" t="n">
        <f aca="false">$R$2 + SUMPRODUCT(B120:K120,$S$2:$AB$2)</f>
        <v>-0.12609954</v>
      </c>
      <c r="N120" s="6" t="n">
        <f aca="false">1/(1+EXP(-M120))</f>
        <v>0.468516822029129</v>
      </c>
      <c r="O120" s="6" t="n">
        <f aca="false">IF(L120=1,N120,1-N120)</f>
        <v>0.468516822029129</v>
      </c>
      <c r="P120" s="6" t="n">
        <f aca="false">LN(O120)</f>
        <v>-0.758183271802851</v>
      </c>
      <c r="AD120" s="8" t="n">
        <f aca="false">B120</f>
        <v>59</v>
      </c>
      <c r="AE120" s="8" t="n">
        <f aca="false">C120</f>
        <v>55400</v>
      </c>
      <c r="AF120" s="8" t="n">
        <f aca="false">D120</f>
        <v>4</v>
      </c>
      <c r="AG120" s="9" t="n">
        <f aca="false">E120*0.85</f>
        <v>98.8125</v>
      </c>
      <c r="AH120" s="9" t="n">
        <f aca="false">F120*0.9</f>
        <v>0.9</v>
      </c>
      <c r="AI120" s="9" t="n">
        <f aca="false">G120</f>
        <v>0.47</v>
      </c>
      <c r="AJ120" s="9" t="n">
        <f aca="false">H120*1.2</f>
        <v>222</v>
      </c>
      <c r="AK120" s="8" t="n">
        <f aca="false">I120</f>
        <v>1</v>
      </c>
      <c r="AL120" s="8" t="n">
        <f aca="false">J120</f>
        <v>0</v>
      </c>
      <c r="AM120" s="9" t="n">
        <f aca="false">K120</f>
        <v>0.48</v>
      </c>
      <c r="AN120" s="6" t="n">
        <f aca="false">$R$2 + SUMPRODUCT(AD120:AM120,$S$2:$AB$2)</f>
        <v>-0.5849897775</v>
      </c>
      <c r="AO120" s="6" t="n">
        <f aca="false">1/(1+EXP(-AN120))</f>
        <v>0.357785255913743</v>
      </c>
    </row>
    <row r="121" customFormat="false" ht="15" hidden="false" customHeight="false" outlineLevel="0" collapsed="false">
      <c r="A121" s="3" t="s">
        <v>185</v>
      </c>
      <c r="B121" s="4" t="n">
        <v>56</v>
      </c>
      <c r="C121" s="4" t="n">
        <v>64000</v>
      </c>
      <c r="D121" s="4" t="n">
        <v>1</v>
      </c>
      <c r="E121" s="5" t="n">
        <v>65.02</v>
      </c>
      <c r="F121" s="4" t="n">
        <v>2</v>
      </c>
      <c r="G121" s="5" t="n">
        <v>0.05</v>
      </c>
      <c r="H121" s="4" t="n">
        <v>32</v>
      </c>
      <c r="I121" s="4" t="n">
        <v>0</v>
      </c>
      <c r="J121" s="4" t="n">
        <v>0</v>
      </c>
      <c r="K121" s="5" t="n">
        <v>0.35</v>
      </c>
      <c r="L121" s="4" t="n">
        <v>0</v>
      </c>
      <c r="M121" s="6" t="n">
        <f aca="false">$R$2 + SUMPRODUCT(B121:K121,$S$2:$AB$2)</f>
        <v>-1.71877024</v>
      </c>
      <c r="N121" s="6" t="n">
        <f aca="false">1/(1+EXP(-M121))</f>
        <v>0.152029632331343</v>
      </c>
      <c r="O121" s="6" t="n">
        <f aca="false">IF(L121=1,N121,1-N121)</f>
        <v>0.847970367668657</v>
      </c>
      <c r="P121" s="6" t="n">
        <f aca="false">LN(O121)</f>
        <v>-0.164909587587744</v>
      </c>
      <c r="AD121" s="8" t="n">
        <f aca="false">B121</f>
        <v>56</v>
      </c>
      <c r="AE121" s="8" t="n">
        <f aca="false">C121</f>
        <v>64000</v>
      </c>
      <c r="AF121" s="8" t="n">
        <f aca="false">D121</f>
        <v>1</v>
      </c>
      <c r="AG121" s="9" t="n">
        <f aca="false">E121*0.85</f>
        <v>55.267</v>
      </c>
      <c r="AH121" s="9" t="n">
        <f aca="false">F121*0.9</f>
        <v>1.8</v>
      </c>
      <c r="AI121" s="9" t="n">
        <f aca="false">G121</f>
        <v>0.05</v>
      </c>
      <c r="AJ121" s="9" t="n">
        <f aca="false">H121*1.2</f>
        <v>38.4</v>
      </c>
      <c r="AK121" s="8" t="n">
        <f aca="false">I121</f>
        <v>0</v>
      </c>
      <c r="AL121" s="8" t="n">
        <f aca="false">J121</f>
        <v>0</v>
      </c>
      <c r="AM121" s="9" t="n">
        <f aca="false">K121</f>
        <v>0.35</v>
      </c>
      <c r="AN121" s="6" t="n">
        <f aca="false">$R$2 + SUMPRODUCT(AD121:AM121,$S$2:$AB$2)</f>
        <v>-1.909846089</v>
      </c>
      <c r="AO121" s="6" t="n">
        <f aca="false">1/(1+EXP(-AN121))</f>
        <v>0.128998144232918</v>
      </c>
    </row>
    <row r="122" customFormat="false" ht="15" hidden="false" customHeight="false" outlineLevel="0" collapsed="false">
      <c r="A122" s="3" t="s">
        <v>186</v>
      </c>
      <c r="B122" s="4" t="n">
        <v>58</v>
      </c>
      <c r="C122" s="4" t="n">
        <v>81100</v>
      </c>
      <c r="D122" s="4" t="n">
        <v>6</v>
      </c>
      <c r="E122" s="5" t="n">
        <v>84.55</v>
      </c>
      <c r="F122" s="4" t="n">
        <v>3</v>
      </c>
      <c r="G122" s="5" t="n">
        <v>0.38</v>
      </c>
      <c r="H122" s="4" t="n">
        <v>250</v>
      </c>
      <c r="I122" s="4" t="n">
        <v>1</v>
      </c>
      <c r="J122" s="4" t="n">
        <v>1</v>
      </c>
      <c r="K122" s="5" t="n">
        <v>0.23</v>
      </c>
      <c r="L122" s="4" t="n">
        <v>1</v>
      </c>
      <c r="M122" s="6" t="n">
        <f aca="false">$R$2 + SUMPRODUCT(B122:K122,$S$2:$AB$2)</f>
        <v>0.482542720000001</v>
      </c>
      <c r="N122" s="6" t="n">
        <f aca="false">1/(1+EXP(-M122))</f>
        <v>0.618348121033067</v>
      </c>
      <c r="O122" s="6" t="n">
        <f aca="false">IF(L122=1,N122,1-N122)</f>
        <v>0.618348121033067</v>
      </c>
      <c r="P122" s="6" t="n">
        <f aca="false">LN(O122)</f>
        <v>-0.480703677477321</v>
      </c>
      <c r="AD122" s="8" t="n">
        <f aca="false">B122</f>
        <v>58</v>
      </c>
      <c r="AE122" s="8" t="n">
        <f aca="false">C122</f>
        <v>81100</v>
      </c>
      <c r="AF122" s="8" t="n">
        <f aca="false">D122</f>
        <v>6</v>
      </c>
      <c r="AG122" s="9" t="n">
        <f aca="false">E122*0.85</f>
        <v>71.8675</v>
      </c>
      <c r="AH122" s="9" t="n">
        <f aca="false">F122*0.9</f>
        <v>2.7</v>
      </c>
      <c r="AI122" s="9" t="n">
        <f aca="false">G122</f>
        <v>0.38</v>
      </c>
      <c r="AJ122" s="9" t="n">
        <f aca="false">H122*1.2</f>
        <v>300</v>
      </c>
      <c r="AK122" s="8" t="n">
        <f aca="false">I122</f>
        <v>1</v>
      </c>
      <c r="AL122" s="8" t="n">
        <f aca="false">J122</f>
        <v>1</v>
      </c>
      <c r="AM122" s="9" t="n">
        <f aca="false">K122</f>
        <v>0.23</v>
      </c>
      <c r="AN122" s="6" t="n">
        <f aca="false">$R$2 + SUMPRODUCT(AD122:AM122,$S$2:$AB$2)</f>
        <v>-0.0105402024999997</v>
      </c>
      <c r="AO122" s="6" t="n">
        <f aca="false">1/(1+EXP(-AN122))</f>
        <v>0.497364973769999</v>
      </c>
    </row>
    <row r="123" customFormat="false" ht="15" hidden="false" customHeight="false" outlineLevel="0" collapsed="false">
      <c r="A123" s="3" t="s">
        <v>187</v>
      </c>
      <c r="B123" s="4" t="n">
        <v>45</v>
      </c>
      <c r="C123" s="4" t="n">
        <v>72300</v>
      </c>
      <c r="D123" s="4" t="n">
        <v>7</v>
      </c>
      <c r="E123" s="5" t="n">
        <v>45.23</v>
      </c>
      <c r="F123" s="4" t="n">
        <v>3</v>
      </c>
      <c r="G123" s="5" t="n">
        <v>0.43</v>
      </c>
      <c r="H123" s="4" t="n">
        <v>57</v>
      </c>
      <c r="I123" s="4" t="n">
        <v>1</v>
      </c>
      <c r="J123" s="4" t="n">
        <v>0</v>
      </c>
      <c r="K123" s="5" t="n">
        <v>0.37</v>
      </c>
      <c r="L123" s="4" t="n">
        <v>0</v>
      </c>
      <c r="M123" s="6" t="n">
        <f aca="false">$R$2 + SUMPRODUCT(B123:K123,$S$2:$AB$2)</f>
        <v>0.814781330000001</v>
      </c>
      <c r="N123" s="6" t="n">
        <f aca="false">1/(1+EXP(-M123))</f>
        <v>0.693127439789431</v>
      </c>
      <c r="O123" s="6" t="n">
        <f aca="false">IF(L123=1,N123,1-N123)</f>
        <v>0.306872560210569</v>
      </c>
      <c r="P123" s="6" t="n">
        <f aca="false">LN(O123)</f>
        <v>-1.18132273089895</v>
      </c>
      <c r="AD123" s="8" t="n">
        <f aca="false">B123</f>
        <v>45</v>
      </c>
      <c r="AE123" s="8" t="n">
        <f aca="false">C123</f>
        <v>72300</v>
      </c>
      <c r="AF123" s="8" t="n">
        <f aca="false">D123</f>
        <v>7</v>
      </c>
      <c r="AG123" s="9" t="n">
        <f aca="false">E123*0.85</f>
        <v>38.4455</v>
      </c>
      <c r="AH123" s="9" t="n">
        <f aca="false">F123*0.9</f>
        <v>2.7</v>
      </c>
      <c r="AI123" s="9" t="n">
        <f aca="false">G123</f>
        <v>0.43</v>
      </c>
      <c r="AJ123" s="9" t="n">
        <f aca="false">H123*1.2</f>
        <v>68.4</v>
      </c>
      <c r="AK123" s="8" t="n">
        <f aca="false">I123</f>
        <v>1</v>
      </c>
      <c r="AL123" s="8" t="n">
        <f aca="false">J123</f>
        <v>0</v>
      </c>
      <c r="AM123" s="9" t="n">
        <f aca="false">K123</f>
        <v>0.37</v>
      </c>
      <c r="AN123" s="6" t="n">
        <f aca="false">$R$2 + SUMPRODUCT(AD123:AM123,$S$2:$AB$2)</f>
        <v>0.6231850415</v>
      </c>
      <c r="AO123" s="6" t="n">
        <f aca="false">1/(1+EXP(-AN123))</f>
        <v>0.650942589505922</v>
      </c>
    </row>
    <row r="124" customFormat="false" ht="15" hidden="false" customHeight="false" outlineLevel="0" collapsed="false">
      <c r="A124" s="3" t="s">
        <v>188</v>
      </c>
      <c r="B124" s="4" t="n">
        <v>24</v>
      </c>
      <c r="C124" s="4" t="n">
        <v>93800</v>
      </c>
      <c r="D124" s="4" t="n">
        <v>9</v>
      </c>
      <c r="E124" s="5" t="n">
        <v>45.5</v>
      </c>
      <c r="F124" s="4" t="n">
        <v>6</v>
      </c>
      <c r="G124" s="5" t="n">
        <v>0.16</v>
      </c>
      <c r="H124" s="4" t="n">
        <v>310</v>
      </c>
      <c r="I124" s="4" t="n">
        <v>0</v>
      </c>
      <c r="J124" s="4" t="n">
        <v>1</v>
      </c>
      <c r="K124" s="5" t="n">
        <v>0.46</v>
      </c>
      <c r="L124" s="4" t="n">
        <v>1</v>
      </c>
      <c r="M124" s="6" t="n">
        <f aca="false">$R$2 + SUMPRODUCT(B124:K124,$S$2:$AB$2)</f>
        <v>0.385535040000001</v>
      </c>
      <c r="N124" s="6" t="n">
        <f aca="false">1/(1+EXP(-M124))</f>
        <v>0.595207390588204</v>
      </c>
      <c r="O124" s="6" t="n">
        <f aca="false">IF(L124=1,N124,1-N124)</f>
        <v>0.595207390588204</v>
      </c>
      <c r="P124" s="6" t="n">
        <f aca="false">LN(O124)</f>
        <v>-0.518845378557476</v>
      </c>
      <c r="AD124" s="8" t="n">
        <f aca="false">B124</f>
        <v>24</v>
      </c>
      <c r="AE124" s="8" t="n">
        <f aca="false">C124</f>
        <v>93800</v>
      </c>
      <c r="AF124" s="8" t="n">
        <f aca="false">D124</f>
        <v>9</v>
      </c>
      <c r="AG124" s="9" t="n">
        <f aca="false">E124*0.85</f>
        <v>38.675</v>
      </c>
      <c r="AH124" s="9" t="n">
        <f aca="false">F124*0.9</f>
        <v>5.4</v>
      </c>
      <c r="AI124" s="9" t="n">
        <f aca="false">G124</f>
        <v>0.16</v>
      </c>
      <c r="AJ124" s="9" t="n">
        <f aca="false">H124*1.2</f>
        <v>372</v>
      </c>
      <c r="AK124" s="8" t="n">
        <f aca="false">I124</f>
        <v>0</v>
      </c>
      <c r="AL124" s="8" t="n">
        <f aca="false">J124</f>
        <v>1</v>
      </c>
      <c r="AM124" s="9" t="n">
        <f aca="false">K124</f>
        <v>0.46</v>
      </c>
      <c r="AN124" s="6" t="n">
        <f aca="false">$R$2 + SUMPRODUCT(AD124:AM124,$S$2:$AB$2)</f>
        <v>-0.132778985</v>
      </c>
      <c r="AO124" s="6" t="n">
        <f aca="false">1/(1+EXP(-AN124))</f>
        <v>0.466853937252285</v>
      </c>
    </row>
    <row r="125" customFormat="false" ht="15" hidden="false" customHeight="false" outlineLevel="0" collapsed="false">
      <c r="A125" s="3" t="s">
        <v>189</v>
      </c>
      <c r="B125" s="4" t="n">
        <v>26</v>
      </c>
      <c r="C125" s="4" t="n">
        <v>41200</v>
      </c>
      <c r="D125" s="4" t="n">
        <v>6</v>
      </c>
      <c r="E125" s="5" t="n">
        <v>92.05</v>
      </c>
      <c r="F125" s="4" t="n">
        <v>1</v>
      </c>
      <c r="G125" s="5" t="n">
        <v>0.3</v>
      </c>
      <c r="H125" s="4" t="n">
        <v>144</v>
      </c>
      <c r="I125" s="4" t="n">
        <v>0</v>
      </c>
      <c r="J125" s="4" t="n">
        <v>1</v>
      </c>
      <c r="K125" s="5" t="n">
        <v>0.4</v>
      </c>
      <c r="L125" s="4" t="n">
        <v>1</v>
      </c>
      <c r="M125" s="6" t="n">
        <f aca="false">$R$2 + SUMPRODUCT(B125:K125,$S$2:$AB$2)</f>
        <v>-0.25070685</v>
      </c>
      <c r="N125" s="6" t="n">
        <f aca="false">1/(1+EXP(-M125))</f>
        <v>0.437649526891048</v>
      </c>
      <c r="O125" s="6" t="n">
        <f aca="false">IF(L125=1,N125,1-N125)</f>
        <v>0.437649526891048</v>
      </c>
      <c r="P125" s="6" t="n">
        <f aca="false">LN(O125)</f>
        <v>-0.82633685582553</v>
      </c>
      <c r="AD125" s="8" t="n">
        <f aca="false">B125</f>
        <v>26</v>
      </c>
      <c r="AE125" s="8" t="n">
        <f aca="false">C125</f>
        <v>41200</v>
      </c>
      <c r="AF125" s="8" t="n">
        <f aca="false">D125</f>
        <v>6</v>
      </c>
      <c r="AG125" s="9" t="n">
        <f aca="false">E125*0.85</f>
        <v>78.2425</v>
      </c>
      <c r="AH125" s="9" t="n">
        <f aca="false">F125*0.9</f>
        <v>0.9</v>
      </c>
      <c r="AI125" s="9" t="n">
        <f aca="false">G125</f>
        <v>0.3</v>
      </c>
      <c r="AJ125" s="9" t="n">
        <f aca="false">H125*1.2</f>
        <v>172.8</v>
      </c>
      <c r="AK125" s="8" t="n">
        <f aca="false">I125</f>
        <v>0</v>
      </c>
      <c r="AL125" s="8" t="n">
        <f aca="false">J125</f>
        <v>1</v>
      </c>
      <c r="AM125" s="9" t="n">
        <f aca="false">K125</f>
        <v>0.4</v>
      </c>
      <c r="AN125" s="6" t="n">
        <f aca="false">$R$2 + SUMPRODUCT(AD125:AM125,$S$2:$AB$2)</f>
        <v>-0.6136196975</v>
      </c>
      <c r="AO125" s="6" t="n">
        <f aca="false">1/(1+EXP(-AN125))</f>
        <v>0.351233938812717</v>
      </c>
    </row>
    <row r="126" customFormat="false" ht="15" hidden="false" customHeight="false" outlineLevel="0" collapsed="false">
      <c r="A126" s="3" t="s">
        <v>190</v>
      </c>
      <c r="B126" s="4" t="n">
        <v>25</v>
      </c>
      <c r="C126" s="4" t="n">
        <v>70700</v>
      </c>
      <c r="D126" s="4" t="n">
        <v>10</v>
      </c>
      <c r="E126" s="5" t="n">
        <v>31.26</v>
      </c>
      <c r="F126" s="4" t="n">
        <v>5</v>
      </c>
      <c r="G126" s="5" t="n">
        <v>0.46</v>
      </c>
      <c r="H126" s="4" t="n">
        <v>318</v>
      </c>
      <c r="I126" s="4" t="n">
        <v>0</v>
      </c>
      <c r="J126" s="4" t="n">
        <v>0</v>
      </c>
      <c r="K126" s="5" t="n">
        <v>0.36</v>
      </c>
      <c r="L126" s="4" t="n">
        <v>1</v>
      </c>
      <c r="M126" s="6" t="n">
        <f aca="false">$R$2 + SUMPRODUCT(B126:K126,$S$2:$AB$2)</f>
        <v>-0.56972588</v>
      </c>
      <c r="N126" s="6" t="n">
        <f aca="false">1/(1+EXP(-M126))</f>
        <v>0.361300079016238</v>
      </c>
      <c r="O126" s="6" t="n">
        <f aca="false">IF(L126=1,N126,1-N126)</f>
        <v>0.361300079016238</v>
      </c>
      <c r="P126" s="6" t="n">
        <f aca="false">LN(O126)</f>
        <v>-1.01804642212877</v>
      </c>
      <c r="AD126" s="8" t="n">
        <f aca="false">B126</f>
        <v>25</v>
      </c>
      <c r="AE126" s="8" t="n">
        <f aca="false">C126</f>
        <v>70700</v>
      </c>
      <c r="AF126" s="8" t="n">
        <f aca="false">D126</f>
        <v>10</v>
      </c>
      <c r="AG126" s="9" t="n">
        <f aca="false">E126*0.85</f>
        <v>26.571</v>
      </c>
      <c r="AH126" s="9" t="n">
        <f aca="false">F126*0.9</f>
        <v>4.5</v>
      </c>
      <c r="AI126" s="9" t="n">
        <f aca="false">G126</f>
        <v>0.46</v>
      </c>
      <c r="AJ126" s="9" t="n">
        <f aca="false">H126*1.2</f>
        <v>381.6</v>
      </c>
      <c r="AK126" s="8" t="n">
        <f aca="false">I126</f>
        <v>0</v>
      </c>
      <c r="AL126" s="8" t="n">
        <f aca="false">J126</f>
        <v>0</v>
      </c>
      <c r="AM126" s="9" t="n">
        <f aca="false">K126</f>
        <v>0.36</v>
      </c>
      <c r="AN126" s="6" t="n">
        <f aca="false">$R$2 + SUMPRODUCT(AD126:AM126,$S$2:$AB$2)</f>
        <v>-1.056953517</v>
      </c>
      <c r="AO126" s="6" t="n">
        <f aca="false">1/(1+EXP(-AN126))</f>
        <v>0.25789207186559</v>
      </c>
    </row>
    <row r="127" customFormat="false" ht="15" hidden="false" customHeight="false" outlineLevel="0" collapsed="false">
      <c r="A127" s="3" t="s">
        <v>191</v>
      </c>
      <c r="B127" s="4" t="n">
        <v>29</v>
      </c>
      <c r="C127" s="4" t="n">
        <v>58300</v>
      </c>
      <c r="D127" s="4" t="n">
        <v>8</v>
      </c>
      <c r="E127" s="5" t="n">
        <v>54.62</v>
      </c>
      <c r="F127" s="4" t="n">
        <v>6</v>
      </c>
      <c r="G127" s="5" t="n">
        <v>0.77</v>
      </c>
      <c r="H127" s="4" t="n">
        <v>84</v>
      </c>
      <c r="I127" s="4" t="n">
        <v>1</v>
      </c>
      <c r="J127" s="4" t="n">
        <v>0</v>
      </c>
      <c r="K127" s="5" t="n">
        <v>0.63</v>
      </c>
      <c r="L127" s="4" t="n">
        <v>1</v>
      </c>
      <c r="M127" s="6" t="n">
        <f aca="false">$R$2 + SUMPRODUCT(B127:K127,$S$2:$AB$2)</f>
        <v>2.04294992</v>
      </c>
      <c r="N127" s="6" t="n">
        <f aca="false">1/(1+EXP(-M127))</f>
        <v>0.885233306708756</v>
      </c>
      <c r="O127" s="6" t="n">
        <f aca="false">IF(L127=1,N127,1-N127)</f>
        <v>0.885233306708756</v>
      </c>
      <c r="P127" s="6" t="n">
        <f aca="false">LN(O127)</f>
        <v>-0.121904045317026</v>
      </c>
      <c r="AD127" s="8" t="n">
        <f aca="false">B127</f>
        <v>29</v>
      </c>
      <c r="AE127" s="8" t="n">
        <f aca="false">C127</f>
        <v>58300</v>
      </c>
      <c r="AF127" s="8" t="n">
        <f aca="false">D127</f>
        <v>8</v>
      </c>
      <c r="AG127" s="9" t="n">
        <f aca="false">E127*0.85</f>
        <v>46.427</v>
      </c>
      <c r="AH127" s="9" t="n">
        <f aca="false">F127*0.9</f>
        <v>5.4</v>
      </c>
      <c r="AI127" s="9" t="n">
        <f aca="false">G127</f>
        <v>0.77</v>
      </c>
      <c r="AJ127" s="9" t="n">
        <f aca="false">H127*1.2</f>
        <v>100.8</v>
      </c>
      <c r="AK127" s="8" t="n">
        <f aca="false">I127</f>
        <v>1</v>
      </c>
      <c r="AL127" s="8" t="n">
        <f aca="false">J127</f>
        <v>0</v>
      </c>
      <c r="AM127" s="9" t="n">
        <f aca="false">K127</f>
        <v>0.63</v>
      </c>
      <c r="AN127" s="6" t="n">
        <f aca="false">$R$2 + SUMPRODUCT(AD127:AM127,$S$2:$AB$2)</f>
        <v>1.766521151</v>
      </c>
      <c r="AO127" s="6" t="n">
        <f aca="false">1/(1+EXP(-AN127))</f>
        <v>0.85402450854043</v>
      </c>
    </row>
    <row r="128" customFormat="false" ht="15" hidden="false" customHeight="false" outlineLevel="0" collapsed="false">
      <c r="A128" s="3" t="s">
        <v>192</v>
      </c>
      <c r="B128" s="4" t="n">
        <v>51</v>
      </c>
      <c r="C128" s="4" t="n">
        <v>94400</v>
      </c>
      <c r="D128" s="4" t="n">
        <v>5</v>
      </c>
      <c r="E128" s="5" t="n">
        <v>65.85</v>
      </c>
      <c r="F128" s="4" t="n">
        <v>6</v>
      </c>
      <c r="G128" s="5" t="n">
        <v>0.75</v>
      </c>
      <c r="H128" s="4" t="n">
        <v>56</v>
      </c>
      <c r="I128" s="4" t="n">
        <v>1</v>
      </c>
      <c r="J128" s="4" t="n">
        <v>1</v>
      </c>
      <c r="K128" s="5" t="n">
        <v>0.24</v>
      </c>
      <c r="L128" s="4" t="n">
        <v>1</v>
      </c>
      <c r="M128" s="6" t="n">
        <f aca="false">$R$2 + SUMPRODUCT(B128:K128,$S$2:$AB$2)</f>
        <v>2.51663522</v>
      </c>
      <c r="N128" s="6" t="n">
        <f aca="false">1/(1+EXP(-M128))</f>
        <v>0.925299813575356</v>
      </c>
      <c r="O128" s="6" t="n">
        <f aca="false">IF(L128=1,N128,1-N128)</f>
        <v>0.925299813575356</v>
      </c>
      <c r="P128" s="6" t="n">
        <f aca="false">LN(O128)</f>
        <v>-0.077637471201985</v>
      </c>
      <c r="AD128" s="8" t="n">
        <f aca="false">B128</f>
        <v>51</v>
      </c>
      <c r="AE128" s="8" t="n">
        <f aca="false">C128</f>
        <v>94400</v>
      </c>
      <c r="AF128" s="8" t="n">
        <f aca="false">D128</f>
        <v>5</v>
      </c>
      <c r="AG128" s="9" t="n">
        <f aca="false">E128*0.85</f>
        <v>55.9725</v>
      </c>
      <c r="AH128" s="9" t="n">
        <f aca="false">F128*0.9</f>
        <v>5.4</v>
      </c>
      <c r="AI128" s="9" t="n">
        <f aca="false">G128</f>
        <v>0.75</v>
      </c>
      <c r="AJ128" s="9" t="n">
        <f aca="false">H128*1.2</f>
        <v>67.2</v>
      </c>
      <c r="AK128" s="8" t="n">
        <f aca="false">I128</f>
        <v>1</v>
      </c>
      <c r="AL128" s="8" t="n">
        <f aca="false">J128</f>
        <v>1</v>
      </c>
      <c r="AM128" s="9" t="n">
        <f aca="false">K128</f>
        <v>0.24</v>
      </c>
      <c r="AN128" s="6" t="n">
        <f aca="false">$R$2 + SUMPRODUCT(AD128:AM128,$S$2:$AB$2)</f>
        <v>2.2498233625</v>
      </c>
      <c r="AO128" s="6" t="n">
        <f aca="false">1/(1+EXP(-AN128))</f>
        <v>0.904635297624148</v>
      </c>
    </row>
    <row r="129" customFormat="false" ht="15" hidden="false" customHeight="false" outlineLevel="0" collapsed="false">
      <c r="A129" s="3" t="s">
        <v>193</v>
      </c>
      <c r="B129" s="4" t="n">
        <v>50</v>
      </c>
      <c r="C129" s="4" t="n">
        <v>40500</v>
      </c>
      <c r="D129" s="4" t="n">
        <v>11</v>
      </c>
      <c r="E129" s="5" t="n">
        <v>67.78</v>
      </c>
      <c r="F129" s="4" t="n">
        <v>3</v>
      </c>
      <c r="G129" s="5" t="n">
        <v>0.42</v>
      </c>
      <c r="H129" s="4" t="n">
        <v>279</v>
      </c>
      <c r="I129" s="4" t="n">
        <v>0</v>
      </c>
      <c r="J129" s="4" t="n">
        <v>1</v>
      </c>
      <c r="K129" s="5" t="n">
        <v>0.39</v>
      </c>
      <c r="L129" s="4" t="n">
        <v>1</v>
      </c>
      <c r="M129" s="6" t="n">
        <f aca="false">$R$2 + SUMPRODUCT(B129:K129,$S$2:$AB$2)</f>
        <v>-0.282948569999999</v>
      </c>
      <c r="N129" s="6" t="n">
        <f aca="false">1/(1+EXP(-M129))</f>
        <v>0.42973104357078</v>
      </c>
      <c r="O129" s="6" t="n">
        <f aca="false">IF(L129=1,N129,1-N129)</f>
        <v>0.42973104357078</v>
      </c>
      <c r="P129" s="6" t="n">
        <f aca="false">LN(O129)</f>
        <v>-0.844595746056746</v>
      </c>
      <c r="AD129" s="8" t="n">
        <f aca="false">B129</f>
        <v>50</v>
      </c>
      <c r="AE129" s="8" t="n">
        <f aca="false">C129</f>
        <v>40500</v>
      </c>
      <c r="AF129" s="8" t="n">
        <f aca="false">D129</f>
        <v>11</v>
      </c>
      <c r="AG129" s="9" t="n">
        <f aca="false">E129*0.85</f>
        <v>57.613</v>
      </c>
      <c r="AH129" s="9" t="n">
        <f aca="false">F129*0.9</f>
        <v>2.7</v>
      </c>
      <c r="AI129" s="9" t="n">
        <f aca="false">G129</f>
        <v>0.42</v>
      </c>
      <c r="AJ129" s="9" t="n">
        <f aca="false">H129*1.2</f>
        <v>334.8</v>
      </c>
      <c r="AK129" s="8" t="n">
        <f aca="false">I129</f>
        <v>0</v>
      </c>
      <c r="AL129" s="8" t="n">
        <f aca="false">J129</f>
        <v>1</v>
      </c>
      <c r="AM129" s="9" t="n">
        <f aca="false">K129</f>
        <v>0.39</v>
      </c>
      <c r="AN129" s="6" t="n">
        <f aca="false">$R$2 + SUMPRODUCT(AD129:AM129,$S$2:$AB$2)</f>
        <v>-0.775637181</v>
      </c>
      <c r="AO129" s="6" t="n">
        <f aca="false">1/(1+EXP(-AN129))</f>
        <v>0.315260934284128</v>
      </c>
    </row>
    <row r="130" customFormat="false" ht="15" hidden="false" customHeight="false" outlineLevel="0" collapsed="false">
      <c r="A130" s="3" t="s">
        <v>194</v>
      </c>
      <c r="B130" s="4" t="n">
        <v>65</v>
      </c>
      <c r="C130" s="4" t="n">
        <v>39900</v>
      </c>
      <c r="D130" s="4" t="n">
        <v>2</v>
      </c>
      <c r="E130" s="5" t="n">
        <v>60.52</v>
      </c>
      <c r="F130" s="4" t="n">
        <v>4</v>
      </c>
      <c r="G130" s="5" t="n">
        <v>0.34</v>
      </c>
      <c r="H130" s="4" t="n">
        <v>273</v>
      </c>
      <c r="I130" s="4" t="n">
        <v>0</v>
      </c>
      <c r="J130" s="4" t="n">
        <v>0</v>
      </c>
      <c r="K130" s="5" t="n">
        <v>0.4</v>
      </c>
      <c r="L130" s="4" t="n">
        <v>0</v>
      </c>
      <c r="M130" s="6" t="n">
        <f aca="false">$R$2 + SUMPRODUCT(B130:K130,$S$2:$AB$2)</f>
        <v>-2.8679325</v>
      </c>
      <c r="N130" s="6" t="n">
        <f aca="false">1/(1+EXP(-M130))</f>
        <v>0.0537617316592719</v>
      </c>
      <c r="O130" s="6" t="n">
        <f aca="false">IF(L130=1,N130,1-N130)</f>
        <v>0.946238268340728</v>
      </c>
      <c r="P130" s="6" t="n">
        <f aca="false">LN(O130)</f>
        <v>-0.0552608723620477</v>
      </c>
      <c r="AD130" s="8" t="n">
        <f aca="false">B130</f>
        <v>65</v>
      </c>
      <c r="AE130" s="8" t="n">
        <f aca="false">C130</f>
        <v>39900</v>
      </c>
      <c r="AF130" s="8" t="n">
        <f aca="false">D130</f>
        <v>2</v>
      </c>
      <c r="AG130" s="9" t="n">
        <f aca="false">E130*0.85</f>
        <v>51.442</v>
      </c>
      <c r="AH130" s="9" t="n">
        <f aca="false">F130*0.9</f>
        <v>3.6</v>
      </c>
      <c r="AI130" s="9" t="n">
        <f aca="false">G130</f>
        <v>0.34</v>
      </c>
      <c r="AJ130" s="9" t="n">
        <f aca="false">H130*1.2</f>
        <v>327.6</v>
      </c>
      <c r="AK130" s="8" t="n">
        <f aca="false">I130</f>
        <v>0</v>
      </c>
      <c r="AL130" s="8" t="n">
        <f aca="false">J130</f>
        <v>0</v>
      </c>
      <c r="AM130" s="9" t="n">
        <f aca="false">K130</f>
        <v>0.4</v>
      </c>
      <c r="AN130" s="6" t="n">
        <f aca="false">$R$2 + SUMPRODUCT(AD130:AM130,$S$2:$AB$2)</f>
        <v>-3.350689274</v>
      </c>
      <c r="AO130" s="6" t="n">
        <f aca="false">1/(1+EXP(-AN130))</f>
        <v>0.0338726002484848</v>
      </c>
    </row>
    <row r="131" customFormat="false" ht="15" hidden="false" customHeight="false" outlineLevel="0" collapsed="false">
      <c r="A131" s="3" t="s">
        <v>195</v>
      </c>
      <c r="B131" s="4" t="n">
        <v>40</v>
      </c>
      <c r="C131" s="4" t="n">
        <v>44200</v>
      </c>
      <c r="D131" s="4" t="n">
        <v>7</v>
      </c>
      <c r="E131" s="5" t="n">
        <v>74.9</v>
      </c>
      <c r="F131" s="4" t="n">
        <v>5</v>
      </c>
      <c r="G131" s="5" t="n">
        <v>0.13</v>
      </c>
      <c r="H131" s="4" t="n">
        <v>166</v>
      </c>
      <c r="I131" s="4" t="n">
        <v>0</v>
      </c>
      <c r="J131" s="4" t="n">
        <v>0</v>
      </c>
      <c r="K131" s="5" t="n">
        <v>0.56</v>
      </c>
      <c r="L131" s="4" t="n">
        <v>0</v>
      </c>
      <c r="M131" s="6" t="n">
        <f aca="false">$R$2 + SUMPRODUCT(B131:K131,$S$2:$AB$2)</f>
        <v>-0.774844589999999</v>
      </c>
      <c r="N131" s="6" t="n">
        <f aca="false">1/(1+EXP(-M131))</f>
        <v>0.315432057121708</v>
      </c>
      <c r="O131" s="6" t="n">
        <f aca="false">IF(L131=1,N131,1-N131)</f>
        <v>0.684567942878292</v>
      </c>
      <c r="P131" s="6" t="n">
        <f aca="false">LN(O131)</f>
        <v>-0.378967380043934</v>
      </c>
      <c r="AD131" s="8" t="n">
        <f aca="false">B131</f>
        <v>40</v>
      </c>
      <c r="AE131" s="8" t="n">
        <f aca="false">C131</f>
        <v>44200</v>
      </c>
      <c r="AF131" s="8" t="n">
        <f aca="false">D131</f>
        <v>7</v>
      </c>
      <c r="AG131" s="9" t="n">
        <f aca="false">E131*0.85</f>
        <v>63.665</v>
      </c>
      <c r="AH131" s="9" t="n">
        <f aca="false">F131*0.9</f>
        <v>4.5</v>
      </c>
      <c r="AI131" s="9" t="n">
        <f aca="false">G131</f>
        <v>0.13</v>
      </c>
      <c r="AJ131" s="9" t="n">
        <f aca="false">H131*1.2</f>
        <v>199.2</v>
      </c>
      <c r="AK131" s="8" t="n">
        <f aca="false">I131</f>
        <v>0</v>
      </c>
      <c r="AL131" s="8" t="n">
        <f aca="false">J131</f>
        <v>0</v>
      </c>
      <c r="AM131" s="9" t="n">
        <f aca="false">K131</f>
        <v>0.56</v>
      </c>
      <c r="AN131" s="6" t="n">
        <f aca="false">$R$2 + SUMPRODUCT(AD131:AM131,$S$2:$AB$2)</f>
        <v>-1.174961445</v>
      </c>
      <c r="AO131" s="6" t="n">
        <f aca="false">1/(1+EXP(-AN131))</f>
        <v>0.235959350924936</v>
      </c>
    </row>
    <row r="132" customFormat="false" ht="15" hidden="false" customHeight="false" outlineLevel="0" collapsed="false">
      <c r="A132" s="3" t="s">
        <v>196</v>
      </c>
      <c r="B132" s="4" t="n">
        <v>41</v>
      </c>
      <c r="C132" s="4" t="n">
        <v>16800</v>
      </c>
      <c r="D132" s="4" t="n">
        <v>5</v>
      </c>
      <c r="E132" s="5" t="n">
        <v>82.32</v>
      </c>
      <c r="F132" s="4" t="n">
        <v>4</v>
      </c>
      <c r="G132" s="5" t="n">
        <v>0.19</v>
      </c>
      <c r="H132" s="4" t="n">
        <v>158</v>
      </c>
      <c r="I132" s="4" t="n">
        <v>1</v>
      </c>
      <c r="J132" s="4" t="n">
        <v>0</v>
      </c>
      <c r="K132" s="5" t="n">
        <v>0.15</v>
      </c>
      <c r="L132" s="4" t="n">
        <v>1</v>
      </c>
      <c r="M132" s="6" t="n">
        <f aca="false">$R$2 + SUMPRODUCT(B132:K132,$S$2:$AB$2)</f>
        <v>-1.40795</v>
      </c>
      <c r="N132" s="6" t="n">
        <f aca="false">1/(1+EXP(-M132))</f>
        <v>0.196557596543022</v>
      </c>
      <c r="O132" s="6" t="n">
        <f aca="false">IF(L132=1,N132,1-N132)</f>
        <v>0.196557596543022</v>
      </c>
      <c r="P132" s="6" t="n">
        <f aca="false">LN(O132)</f>
        <v>-1.62679977844357</v>
      </c>
      <c r="AD132" s="8" t="n">
        <f aca="false">B132</f>
        <v>41</v>
      </c>
      <c r="AE132" s="8" t="n">
        <f aca="false">C132</f>
        <v>16800</v>
      </c>
      <c r="AF132" s="8" t="n">
        <f aca="false">D132</f>
        <v>5</v>
      </c>
      <c r="AG132" s="9" t="n">
        <f aca="false">E132*0.85</f>
        <v>69.972</v>
      </c>
      <c r="AH132" s="9" t="n">
        <f aca="false">F132*0.9</f>
        <v>3.6</v>
      </c>
      <c r="AI132" s="9" t="n">
        <f aca="false">G132</f>
        <v>0.19</v>
      </c>
      <c r="AJ132" s="9" t="n">
        <f aca="false">H132*1.2</f>
        <v>189.6</v>
      </c>
      <c r="AK132" s="8" t="n">
        <f aca="false">I132</f>
        <v>1</v>
      </c>
      <c r="AL132" s="8" t="n">
        <f aca="false">J132</f>
        <v>0</v>
      </c>
      <c r="AM132" s="9" t="n">
        <f aca="false">K132</f>
        <v>0.15</v>
      </c>
      <c r="AN132" s="6" t="n">
        <f aca="false">$R$2 + SUMPRODUCT(AD132:AM132,$S$2:$AB$2)</f>
        <v>-1.802198684</v>
      </c>
      <c r="AO132" s="6" t="n">
        <f aca="false">1/(1+EXP(-AN132))</f>
        <v>0.141583631247728</v>
      </c>
    </row>
    <row r="133" customFormat="false" ht="15" hidden="false" customHeight="false" outlineLevel="0" collapsed="false">
      <c r="A133" s="3" t="s">
        <v>197</v>
      </c>
      <c r="B133" s="4" t="n">
        <v>54</v>
      </c>
      <c r="C133" s="4" t="n">
        <v>45500</v>
      </c>
      <c r="D133" s="4" t="n">
        <v>5</v>
      </c>
      <c r="E133" s="5" t="n">
        <v>83.37</v>
      </c>
      <c r="F133" s="4" t="n">
        <v>4</v>
      </c>
      <c r="G133" s="5" t="n">
        <v>0.35</v>
      </c>
      <c r="H133" s="4" t="n">
        <v>249</v>
      </c>
      <c r="I133" s="4" t="n">
        <v>0</v>
      </c>
      <c r="J133" s="4" t="n">
        <v>1</v>
      </c>
      <c r="K133" s="5" t="n">
        <v>0.38</v>
      </c>
      <c r="L133" s="4" t="n">
        <v>1</v>
      </c>
      <c r="M133" s="6" t="n">
        <f aca="false">$R$2 + SUMPRODUCT(B133:K133,$S$2:$AB$2)</f>
        <v>-0.9769024</v>
      </c>
      <c r="N133" s="6" t="n">
        <f aca="false">1/(1+EXP(-M133))</f>
        <v>0.273506847406076</v>
      </c>
      <c r="O133" s="6" t="n">
        <f aca="false">IF(L133=1,N133,1-N133)</f>
        <v>0.273506847406076</v>
      </c>
      <c r="P133" s="6" t="n">
        <f aca="false">LN(O133)</f>
        <v>-1.29642862121384</v>
      </c>
      <c r="AD133" s="8" t="n">
        <f aca="false">B133</f>
        <v>54</v>
      </c>
      <c r="AE133" s="8" t="n">
        <f aca="false">C133</f>
        <v>45500</v>
      </c>
      <c r="AF133" s="8" t="n">
        <f aca="false">D133</f>
        <v>5</v>
      </c>
      <c r="AG133" s="9" t="n">
        <f aca="false">E133*0.85</f>
        <v>70.8645</v>
      </c>
      <c r="AH133" s="9" t="n">
        <f aca="false">F133*0.9</f>
        <v>3.6</v>
      </c>
      <c r="AI133" s="9" t="n">
        <f aca="false">G133</f>
        <v>0.35</v>
      </c>
      <c r="AJ133" s="9" t="n">
        <f aca="false">H133*1.2</f>
        <v>298.8</v>
      </c>
      <c r="AK133" s="8" t="n">
        <f aca="false">I133</f>
        <v>0</v>
      </c>
      <c r="AL133" s="8" t="n">
        <f aca="false">J133</f>
        <v>1</v>
      </c>
      <c r="AM133" s="9" t="n">
        <f aca="false">K133</f>
        <v>0.38</v>
      </c>
      <c r="AN133" s="6" t="n">
        <f aca="false">$R$2 + SUMPRODUCT(AD133:AM133,$S$2:$AB$2)</f>
        <v>-1.4780623815</v>
      </c>
      <c r="AO133" s="6" t="n">
        <f aca="false">1/(1+EXP(-AN133))</f>
        <v>0.185720263522203</v>
      </c>
    </row>
    <row r="134" customFormat="false" ht="15" hidden="false" customHeight="false" outlineLevel="0" collapsed="false">
      <c r="A134" s="3" t="s">
        <v>198</v>
      </c>
      <c r="B134" s="4" t="n">
        <v>52</v>
      </c>
      <c r="C134" s="4" t="n">
        <v>41300</v>
      </c>
      <c r="D134" s="4" t="n">
        <v>6</v>
      </c>
      <c r="E134" s="5" t="n">
        <v>40.35</v>
      </c>
      <c r="F134" s="4" t="n">
        <v>4</v>
      </c>
      <c r="G134" s="5" t="n">
        <v>0.64</v>
      </c>
      <c r="H134" s="4" t="n">
        <v>186</v>
      </c>
      <c r="I134" s="4" t="n">
        <v>0</v>
      </c>
      <c r="J134" s="4" t="n">
        <v>1</v>
      </c>
      <c r="K134" s="5" t="n">
        <v>0.45</v>
      </c>
      <c r="L134" s="4" t="n">
        <v>1</v>
      </c>
      <c r="M134" s="6" t="n">
        <f aca="false">$R$2 + SUMPRODUCT(B134:K134,$S$2:$AB$2)</f>
        <v>-0.51786416</v>
      </c>
      <c r="N134" s="6" t="n">
        <f aca="false">1/(1+EXP(-M134))</f>
        <v>0.373351799989041</v>
      </c>
      <c r="O134" s="6" t="n">
        <f aca="false">IF(L134=1,N134,1-N134)</f>
        <v>0.373351799989041</v>
      </c>
      <c r="P134" s="6" t="n">
        <f aca="false">LN(O134)</f>
        <v>-0.985234140328063</v>
      </c>
      <c r="AD134" s="8" t="n">
        <f aca="false">B134</f>
        <v>52</v>
      </c>
      <c r="AE134" s="8" t="n">
        <f aca="false">C134</f>
        <v>41300</v>
      </c>
      <c r="AF134" s="8" t="n">
        <f aca="false">D134</f>
        <v>6</v>
      </c>
      <c r="AG134" s="9" t="n">
        <f aca="false">E134*0.85</f>
        <v>34.2975</v>
      </c>
      <c r="AH134" s="9" t="n">
        <f aca="false">F134*0.9</f>
        <v>3.6</v>
      </c>
      <c r="AI134" s="9" t="n">
        <f aca="false">G134</f>
        <v>0.64</v>
      </c>
      <c r="AJ134" s="9" t="n">
        <f aca="false">H134*1.2</f>
        <v>223.2</v>
      </c>
      <c r="AK134" s="8" t="n">
        <f aca="false">I134</f>
        <v>0</v>
      </c>
      <c r="AL134" s="8" t="n">
        <f aca="false">J134</f>
        <v>1</v>
      </c>
      <c r="AM134" s="9" t="n">
        <f aca="false">K134</f>
        <v>0.45</v>
      </c>
      <c r="AN134" s="6" t="n">
        <f aca="false">$R$2 + SUMPRODUCT(AD134:AM134,$S$2:$AB$2)</f>
        <v>-0.8597901925</v>
      </c>
      <c r="AO134" s="6" t="n">
        <f aca="false">1/(1+EXP(-AN134))</f>
        <v>0.297383182318692</v>
      </c>
    </row>
    <row r="135" customFormat="false" ht="15" hidden="false" customHeight="false" outlineLevel="0" collapsed="false">
      <c r="A135" s="3" t="s">
        <v>199</v>
      </c>
      <c r="B135" s="4" t="n">
        <v>61</v>
      </c>
      <c r="C135" s="4" t="n">
        <v>57700</v>
      </c>
      <c r="D135" s="4" t="n">
        <v>6</v>
      </c>
      <c r="E135" s="5" t="n">
        <v>57.9</v>
      </c>
      <c r="F135" s="4" t="n">
        <v>4</v>
      </c>
      <c r="G135" s="5" t="n">
        <v>0.4</v>
      </c>
      <c r="H135" s="4" t="n">
        <v>78</v>
      </c>
      <c r="I135" s="4" t="n">
        <v>0</v>
      </c>
      <c r="J135" s="4" t="n">
        <v>1</v>
      </c>
      <c r="K135" s="5" t="n">
        <v>0.29</v>
      </c>
      <c r="L135" s="4" t="n">
        <v>0</v>
      </c>
      <c r="M135" s="6" t="n">
        <f aca="false">$R$2 + SUMPRODUCT(B135:K135,$S$2:$AB$2)</f>
        <v>0.03447567</v>
      </c>
      <c r="N135" s="6" t="n">
        <f aca="false">1/(1+EXP(-M135))</f>
        <v>0.508618063917915</v>
      </c>
      <c r="O135" s="6" t="n">
        <f aca="false">IF(L135=1,N135,1-N135)</f>
        <v>0.491381936082085</v>
      </c>
      <c r="P135" s="6" t="n">
        <f aca="false">LN(O135)</f>
        <v>-0.710533579680444</v>
      </c>
      <c r="AD135" s="8" t="n">
        <f aca="false">B135</f>
        <v>61</v>
      </c>
      <c r="AE135" s="8" t="n">
        <f aca="false">C135</f>
        <v>57700</v>
      </c>
      <c r="AF135" s="8" t="n">
        <f aca="false">D135</f>
        <v>6</v>
      </c>
      <c r="AG135" s="9" t="n">
        <f aca="false">E135*0.85</f>
        <v>49.215</v>
      </c>
      <c r="AH135" s="9" t="n">
        <f aca="false">F135*0.9</f>
        <v>3.6</v>
      </c>
      <c r="AI135" s="9" t="n">
        <f aca="false">G135</f>
        <v>0.4</v>
      </c>
      <c r="AJ135" s="9" t="n">
        <f aca="false">H135*1.2</f>
        <v>93.6</v>
      </c>
      <c r="AK135" s="8" t="n">
        <f aca="false">I135</f>
        <v>0</v>
      </c>
      <c r="AL135" s="8" t="n">
        <f aca="false">J135</f>
        <v>1</v>
      </c>
      <c r="AM135" s="9" t="n">
        <f aca="false">K135</f>
        <v>0.29</v>
      </c>
      <c r="AN135" s="6" t="n">
        <f aca="false">$R$2 + SUMPRODUCT(AD135:AM135,$S$2:$AB$2)</f>
        <v>-0.218439935</v>
      </c>
      <c r="AO135" s="6" t="n">
        <f aca="false">1/(1+EXP(-AN135))</f>
        <v>0.445606132610006</v>
      </c>
    </row>
    <row r="136" customFormat="false" ht="15" hidden="false" customHeight="false" outlineLevel="0" collapsed="false">
      <c r="A136" s="3" t="s">
        <v>200</v>
      </c>
      <c r="B136" s="4" t="n">
        <v>57</v>
      </c>
      <c r="C136" s="4" t="n">
        <v>61200</v>
      </c>
      <c r="D136" s="4" t="n">
        <v>7</v>
      </c>
      <c r="E136" s="5" t="n">
        <v>94.87</v>
      </c>
      <c r="F136" s="4" t="n">
        <v>5</v>
      </c>
      <c r="G136" s="5" t="n">
        <v>0.25</v>
      </c>
      <c r="H136" s="4" t="n">
        <v>22</v>
      </c>
      <c r="I136" s="4" t="n">
        <v>1</v>
      </c>
      <c r="J136" s="4" t="n">
        <v>1</v>
      </c>
      <c r="K136" s="5" t="n">
        <v>0.39</v>
      </c>
      <c r="L136" s="4" t="n">
        <v>1</v>
      </c>
      <c r="M136" s="6" t="n">
        <f aca="false">$R$2 + SUMPRODUCT(B136:K136,$S$2:$AB$2)</f>
        <v>1.87661133</v>
      </c>
      <c r="N136" s="6" t="n">
        <f aca="false">1/(1+EXP(-M136))</f>
        <v>0.867221411742396</v>
      </c>
      <c r="O136" s="6" t="n">
        <f aca="false">IF(L136=1,N136,1-N136)</f>
        <v>0.867221411742396</v>
      </c>
      <c r="P136" s="6" t="n">
        <f aca="false">LN(O136)</f>
        <v>-0.142460957939208</v>
      </c>
      <c r="AD136" s="8" t="n">
        <f aca="false">B136</f>
        <v>57</v>
      </c>
      <c r="AE136" s="8" t="n">
        <f aca="false">C136</f>
        <v>61200</v>
      </c>
      <c r="AF136" s="8" t="n">
        <f aca="false">D136</f>
        <v>7</v>
      </c>
      <c r="AG136" s="9" t="n">
        <f aca="false">E136*0.85</f>
        <v>80.6395</v>
      </c>
      <c r="AH136" s="9" t="n">
        <f aca="false">F136*0.9</f>
        <v>4.5</v>
      </c>
      <c r="AI136" s="9" t="n">
        <f aca="false">G136</f>
        <v>0.25</v>
      </c>
      <c r="AJ136" s="9" t="n">
        <f aca="false">H136*1.2</f>
        <v>26.4</v>
      </c>
      <c r="AK136" s="8" t="n">
        <f aca="false">I136</f>
        <v>1</v>
      </c>
      <c r="AL136" s="8" t="n">
        <f aca="false">J136</f>
        <v>1</v>
      </c>
      <c r="AM136" s="9" t="n">
        <f aca="false">K136</f>
        <v>0.39</v>
      </c>
      <c r="AN136" s="6" t="n">
        <f aca="false">$R$2 + SUMPRODUCT(AD136:AM136,$S$2:$AB$2)</f>
        <v>1.6020863235</v>
      </c>
      <c r="AO136" s="6" t="n">
        <f aca="false">1/(1+EXP(-AN136))</f>
        <v>0.832309775666219</v>
      </c>
    </row>
    <row r="137" customFormat="false" ht="15" hidden="false" customHeight="false" outlineLevel="0" collapsed="false">
      <c r="A137" s="3" t="s">
        <v>201</v>
      </c>
      <c r="B137" s="4" t="n">
        <v>39</v>
      </c>
      <c r="C137" s="4" t="n">
        <v>88800</v>
      </c>
      <c r="D137" s="4" t="n">
        <v>9</v>
      </c>
      <c r="E137" s="5" t="n">
        <v>87.37</v>
      </c>
      <c r="F137" s="4" t="n">
        <v>2</v>
      </c>
      <c r="G137" s="5" t="n">
        <v>0.26</v>
      </c>
      <c r="H137" s="4" t="n">
        <v>108</v>
      </c>
      <c r="I137" s="4" t="n">
        <v>0</v>
      </c>
      <c r="J137" s="4" t="n">
        <v>0</v>
      </c>
      <c r="K137" s="5" t="n">
        <v>0.11</v>
      </c>
      <c r="L137" s="4" t="n">
        <v>1</v>
      </c>
      <c r="M137" s="6" t="n">
        <f aca="false">$R$2 + SUMPRODUCT(B137:K137,$S$2:$AB$2)</f>
        <v>0.495645300000001</v>
      </c>
      <c r="N137" s="6" t="n">
        <f aca="false">1/(1+EXP(-M137))</f>
        <v>0.621435416127478</v>
      </c>
      <c r="O137" s="6" t="n">
        <f aca="false">IF(L137=1,N137,1-N137)</f>
        <v>0.621435416127478</v>
      </c>
      <c r="P137" s="6" t="n">
        <f aca="false">LN(O137)</f>
        <v>-0.475723289557368</v>
      </c>
      <c r="AD137" s="8" t="n">
        <f aca="false">B137</f>
        <v>39</v>
      </c>
      <c r="AE137" s="8" t="n">
        <f aca="false">C137</f>
        <v>88800</v>
      </c>
      <c r="AF137" s="8" t="n">
        <f aca="false">D137</f>
        <v>9</v>
      </c>
      <c r="AG137" s="9" t="n">
        <f aca="false">E137*0.85</f>
        <v>74.2645</v>
      </c>
      <c r="AH137" s="9" t="n">
        <f aca="false">F137*0.9</f>
        <v>1.8</v>
      </c>
      <c r="AI137" s="9" t="n">
        <f aca="false">G137</f>
        <v>0.26</v>
      </c>
      <c r="AJ137" s="9" t="n">
        <f aca="false">H137*1.2</f>
        <v>129.6</v>
      </c>
      <c r="AK137" s="8" t="n">
        <f aca="false">I137</f>
        <v>0</v>
      </c>
      <c r="AL137" s="8" t="n">
        <f aca="false">J137</f>
        <v>0</v>
      </c>
      <c r="AM137" s="9" t="n">
        <f aca="false">K137</f>
        <v>0.11</v>
      </c>
      <c r="AN137" s="6" t="n">
        <f aca="false">$R$2 + SUMPRODUCT(AD137:AM137,$S$2:$AB$2)</f>
        <v>0.172013718500001</v>
      </c>
      <c r="AO137" s="6" t="n">
        <f aca="false">1/(1+EXP(-AN137))</f>
        <v>0.542897707730668</v>
      </c>
    </row>
    <row r="138" customFormat="false" ht="15" hidden="false" customHeight="false" outlineLevel="0" collapsed="false">
      <c r="A138" s="3" t="s">
        <v>202</v>
      </c>
      <c r="B138" s="4" t="n">
        <v>44</v>
      </c>
      <c r="C138" s="4" t="n">
        <v>72100</v>
      </c>
      <c r="D138" s="4" t="n">
        <v>6</v>
      </c>
      <c r="E138" s="5" t="n">
        <v>30.68</v>
      </c>
      <c r="F138" s="4" t="n">
        <v>3</v>
      </c>
      <c r="G138" s="5" t="n">
        <v>0.29</v>
      </c>
      <c r="H138" s="4" t="n">
        <v>273</v>
      </c>
      <c r="I138" s="4" t="n">
        <v>0</v>
      </c>
      <c r="J138" s="4" t="n">
        <v>1</v>
      </c>
      <c r="K138" s="5" t="n">
        <v>0.56</v>
      </c>
      <c r="L138" s="4" t="n">
        <v>0</v>
      </c>
      <c r="M138" s="6" t="n">
        <f aca="false">$R$2 + SUMPRODUCT(B138:K138,$S$2:$AB$2)</f>
        <v>-0.916777489999999</v>
      </c>
      <c r="N138" s="6" t="n">
        <f aca="false">1/(1+EXP(-M138))</f>
        <v>0.285614957683659</v>
      </c>
      <c r="O138" s="6" t="n">
        <f aca="false">IF(L138=1,N138,1-N138)</f>
        <v>0.714385042316341</v>
      </c>
      <c r="P138" s="6" t="n">
        <f aca="false">LN(O138)</f>
        <v>-0.336333187046175</v>
      </c>
      <c r="AD138" s="8" t="n">
        <f aca="false">B138</f>
        <v>44</v>
      </c>
      <c r="AE138" s="8" t="n">
        <f aca="false">C138</f>
        <v>72100</v>
      </c>
      <c r="AF138" s="8" t="n">
        <f aca="false">D138</f>
        <v>6</v>
      </c>
      <c r="AG138" s="9" t="n">
        <f aca="false">E138*0.85</f>
        <v>26.078</v>
      </c>
      <c r="AH138" s="9" t="n">
        <f aca="false">F138*0.9</f>
        <v>2.7</v>
      </c>
      <c r="AI138" s="9" t="n">
        <f aca="false">G138</f>
        <v>0.29</v>
      </c>
      <c r="AJ138" s="9" t="n">
        <f aca="false">H138*1.2</f>
        <v>327.6</v>
      </c>
      <c r="AK138" s="8" t="n">
        <f aca="false">I138</f>
        <v>0</v>
      </c>
      <c r="AL138" s="8" t="n">
        <f aca="false">J138</f>
        <v>1</v>
      </c>
      <c r="AM138" s="9" t="n">
        <f aca="false">K138</f>
        <v>0.56</v>
      </c>
      <c r="AN138" s="6" t="n">
        <f aca="false">$R$2 + SUMPRODUCT(AD138:AM138,$S$2:$AB$2)</f>
        <v>-1.327801856</v>
      </c>
      <c r="AO138" s="6" t="n">
        <f aca="false">1/(1+EXP(-AN138))</f>
        <v>0.209523196458555</v>
      </c>
    </row>
    <row r="139" customFormat="false" ht="15" hidden="false" customHeight="false" outlineLevel="0" collapsed="false">
      <c r="A139" s="3" t="s">
        <v>203</v>
      </c>
      <c r="B139" s="4" t="n">
        <v>52</v>
      </c>
      <c r="C139" s="4" t="n">
        <v>44600</v>
      </c>
      <c r="D139" s="4" t="n">
        <v>3</v>
      </c>
      <c r="E139" s="5" t="n">
        <v>73.79</v>
      </c>
      <c r="F139" s="4" t="n">
        <v>2</v>
      </c>
      <c r="G139" s="5" t="n">
        <v>0.19</v>
      </c>
      <c r="H139" s="4" t="n">
        <v>252</v>
      </c>
      <c r="I139" s="4" t="n">
        <v>1</v>
      </c>
      <c r="J139" s="4" t="n">
        <v>1</v>
      </c>
      <c r="K139" s="5" t="n">
        <v>0.23</v>
      </c>
      <c r="L139" s="4" t="n">
        <v>0</v>
      </c>
      <c r="M139" s="6" t="n">
        <f aca="false">$R$2 + SUMPRODUCT(B139:K139,$S$2:$AB$2)</f>
        <v>-1.44069585</v>
      </c>
      <c r="N139" s="6" t="n">
        <f aca="false">1/(1+EXP(-M139))</f>
        <v>0.191437615331145</v>
      </c>
      <c r="O139" s="6" t="n">
        <f aca="false">IF(L139=1,N139,1-N139)</f>
        <v>0.808562384668855</v>
      </c>
      <c r="P139" s="6" t="n">
        <f aca="false">LN(O139)</f>
        <v>-0.212497441941293</v>
      </c>
      <c r="AD139" s="8" t="n">
        <f aca="false">B139</f>
        <v>52</v>
      </c>
      <c r="AE139" s="8" t="n">
        <f aca="false">C139</f>
        <v>44600</v>
      </c>
      <c r="AF139" s="8" t="n">
        <f aca="false">D139</f>
        <v>3</v>
      </c>
      <c r="AG139" s="9" t="n">
        <f aca="false">E139*0.85</f>
        <v>62.7215</v>
      </c>
      <c r="AH139" s="9" t="n">
        <f aca="false">F139*0.9</f>
        <v>1.8</v>
      </c>
      <c r="AI139" s="9" t="n">
        <f aca="false">G139</f>
        <v>0.19</v>
      </c>
      <c r="AJ139" s="9" t="n">
        <f aca="false">H139*1.2</f>
        <v>302.4</v>
      </c>
      <c r="AK139" s="8" t="n">
        <f aca="false">I139</f>
        <v>1</v>
      </c>
      <c r="AL139" s="8" t="n">
        <f aca="false">J139</f>
        <v>1</v>
      </c>
      <c r="AM139" s="9" t="n">
        <f aca="false">K139</f>
        <v>0.23</v>
      </c>
      <c r="AN139" s="6" t="n">
        <f aca="false">$R$2 + SUMPRODUCT(AD139:AM139,$S$2:$AB$2)</f>
        <v>-1.9027948105</v>
      </c>
      <c r="AO139" s="6" t="n">
        <f aca="false">1/(1+EXP(-AN139))</f>
        <v>0.129792483855333</v>
      </c>
    </row>
    <row r="140" customFormat="false" ht="15" hidden="false" customHeight="false" outlineLevel="0" collapsed="false">
      <c r="A140" s="3" t="s">
        <v>204</v>
      </c>
      <c r="B140" s="4" t="n">
        <v>18</v>
      </c>
      <c r="C140" s="4" t="n">
        <v>38800</v>
      </c>
      <c r="D140" s="4" t="n">
        <v>9</v>
      </c>
      <c r="E140" s="5" t="n">
        <v>15.54</v>
      </c>
      <c r="F140" s="4" t="n">
        <v>1</v>
      </c>
      <c r="G140" s="5" t="n">
        <v>0.18</v>
      </c>
      <c r="H140" s="4" t="n">
        <v>15</v>
      </c>
      <c r="I140" s="4" t="n">
        <v>0</v>
      </c>
      <c r="J140" s="4" t="n">
        <v>1</v>
      </c>
      <c r="K140" s="5" t="n">
        <v>0.54</v>
      </c>
      <c r="L140" s="4" t="n">
        <v>0</v>
      </c>
      <c r="M140" s="6" t="n">
        <f aca="false">$R$2 + SUMPRODUCT(B140:K140,$S$2:$AB$2)</f>
        <v>0.0297634200000001</v>
      </c>
      <c r="N140" s="6" t="n">
        <f aca="false">1/(1+EXP(-M140))</f>
        <v>0.507440305751613</v>
      </c>
      <c r="O140" s="6" t="n">
        <f aca="false">IF(L140=1,N140,1-N140)</f>
        <v>0.492559694248387</v>
      </c>
      <c r="P140" s="6" t="n">
        <f aca="false">LN(O140)</f>
        <v>-0.708139619119209</v>
      </c>
      <c r="AD140" s="8" t="n">
        <f aca="false">B140</f>
        <v>18</v>
      </c>
      <c r="AE140" s="8" t="n">
        <f aca="false">C140</f>
        <v>38800</v>
      </c>
      <c r="AF140" s="8" t="n">
        <f aca="false">D140</f>
        <v>9</v>
      </c>
      <c r="AG140" s="9" t="n">
        <f aca="false">E140*0.85</f>
        <v>13.209</v>
      </c>
      <c r="AH140" s="9" t="n">
        <f aca="false">F140*0.9</f>
        <v>0.9</v>
      </c>
      <c r="AI140" s="9" t="n">
        <f aca="false">G140</f>
        <v>0.18</v>
      </c>
      <c r="AJ140" s="9" t="n">
        <f aca="false">H140*1.2</f>
        <v>18</v>
      </c>
      <c r="AK140" s="8" t="n">
        <f aca="false">I140</f>
        <v>0</v>
      </c>
      <c r="AL140" s="8" t="n">
        <f aca="false">J140</f>
        <v>1</v>
      </c>
      <c r="AM140" s="9" t="n">
        <f aca="false">K140</f>
        <v>0.54</v>
      </c>
      <c r="AN140" s="6" t="n">
        <f aca="false">$R$2 + SUMPRODUCT(AD140:AM140,$S$2:$AB$2)</f>
        <v>-0.0304292029999997</v>
      </c>
      <c r="AO140" s="6" t="n">
        <f aca="false">1/(1+EXP(-AN140))</f>
        <v>0.492393286185373</v>
      </c>
    </row>
    <row r="141" customFormat="false" ht="15" hidden="false" customHeight="false" outlineLevel="0" collapsed="false">
      <c r="A141" s="3" t="s">
        <v>205</v>
      </c>
      <c r="B141" s="4" t="n">
        <v>52</v>
      </c>
      <c r="C141" s="4" t="n">
        <v>63900</v>
      </c>
      <c r="D141" s="4" t="n">
        <v>7</v>
      </c>
      <c r="E141" s="5" t="n">
        <v>66.17</v>
      </c>
      <c r="F141" s="4" t="n">
        <v>8</v>
      </c>
      <c r="G141" s="5" t="n">
        <v>0.19</v>
      </c>
      <c r="H141" s="4" t="n">
        <v>304</v>
      </c>
      <c r="I141" s="4" t="n">
        <v>0</v>
      </c>
      <c r="J141" s="4" t="n">
        <v>1</v>
      </c>
      <c r="K141" s="5" t="n">
        <v>0.38</v>
      </c>
      <c r="L141" s="4" t="n">
        <v>0</v>
      </c>
      <c r="M141" s="6" t="n">
        <f aca="false">$R$2 + SUMPRODUCT(B141:K141,$S$2:$AB$2)</f>
        <v>-0.50034336</v>
      </c>
      <c r="N141" s="6" t="n">
        <f aca="false">1/(1+EXP(-M141))</f>
        <v>0.377459981317035</v>
      </c>
      <c r="O141" s="6" t="n">
        <f aca="false">IF(L141=1,N141,1-N141)</f>
        <v>0.622540018682966</v>
      </c>
      <c r="P141" s="6" t="n">
        <f aca="false">LN(O141)</f>
        <v>-0.473947365668689</v>
      </c>
      <c r="AD141" s="8" t="n">
        <f aca="false">B141</f>
        <v>52</v>
      </c>
      <c r="AE141" s="8" t="n">
        <f aca="false">C141</f>
        <v>63900</v>
      </c>
      <c r="AF141" s="8" t="n">
        <f aca="false">D141</f>
        <v>7</v>
      </c>
      <c r="AG141" s="9" t="n">
        <f aca="false">E141*0.85</f>
        <v>56.2445</v>
      </c>
      <c r="AH141" s="9" t="n">
        <f aca="false">F141*0.9</f>
        <v>7.2</v>
      </c>
      <c r="AI141" s="9" t="n">
        <f aca="false">G141</f>
        <v>0.19</v>
      </c>
      <c r="AJ141" s="9" t="n">
        <f aca="false">H141*1.2</f>
        <v>364.8</v>
      </c>
      <c r="AK141" s="8" t="n">
        <f aca="false">I141</f>
        <v>0</v>
      </c>
      <c r="AL141" s="8" t="n">
        <f aca="false">J141</f>
        <v>1</v>
      </c>
      <c r="AM141" s="9" t="n">
        <f aca="false">K141</f>
        <v>0.38</v>
      </c>
      <c r="AN141" s="6" t="n">
        <f aca="false">$R$2 + SUMPRODUCT(AD141:AM141,$S$2:$AB$2)</f>
        <v>-1.0766094015</v>
      </c>
      <c r="AO141" s="6" t="n">
        <f aca="false">1/(1+EXP(-AN141))</f>
        <v>0.254148192041402</v>
      </c>
    </row>
    <row r="142" customFormat="false" ht="15" hidden="false" customHeight="false" outlineLevel="0" collapsed="false">
      <c r="A142" s="3" t="s">
        <v>206</v>
      </c>
      <c r="B142" s="4" t="n">
        <v>54</v>
      </c>
      <c r="C142" s="4" t="n">
        <v>31200</v>
      </c>
      <c r="D142" s="4" t="n">
        <v>1</v>
      </c>
      <c r="E142" s="5" t="n">
        <v>112.44</v>
      </c>
      <c r="F142" s="4" t="n">
        <v>1</v>
      </c>
      <c r="G142" s="5" t="n">
        <v>0.4</v>
      </c>
      <c r="H142" s="4" t="n">
        <v>160</v>
      </c>
      <c r="I142" s="4" t="n">
        <v>1</v>
      </c>
      <c r="J142" s="4" t="n">
        <v>0</v>
      </c>
      <c r="K142" s="5" t="n">
        <v>0.38</v>
      </c>
      <c r="L142" s="4" t="n">
        <v>0</v>
      </c>
      <c r="M142" s="6" t="n">
        <f aca="false">$R$2 + SUMPRODUCT(B142:K142,$S$2:$AB$2)</f>
        <v>-1.32886754</v>
      </c>
      <c r="N142" s="6" t="n">
        <f aca="false">1/(1+EXP(-M142))</f>
        <v>0.209346749073066</v>
      </c>
      <c r="O142" s="6" t="n">
        <f aca="false">IF(L142=1,N142,1-N142)</f>
        <v>0.790653250926935</v>
      </c>
      <c r="P142" s="6" t="n">
        <f aca="false">LN(O142)</f>
        <v>-0.234895775306935</v>
      </c>
      <c r="AD142" s="8" t="n">
        <f aca="false">B142</f>
        <v>54</v>
      </c>
      <c r="AE142" s="8" t="n">
        <f aca="false">C142</f>
        <v>31200</v>
      </c>
      <c r="AF142" s="8" t="n">
        <f aca="false">D142</f>
        <v>1</v>
      </c>
      <c r="AG142" s="9" t="n">
        <f aca="false">E142*0.85</f>
        <v>95.574</v>
      </c>
      <c r="AH142" s="9" t="n">
        <f aca="false">F142*0.9</f>
        <v>0.9</v>
      </c>
      <c r="AI142" s="9" t="n">
        <f aca="false">G142</f>
        <v>0.4</v>
      </c>
      <c r="AJ142" s="9" t="n">
        <f aca="false">H142*1.2</f>
        <v>192</v>
      </c>
      <c r="AK142" s="8" t="n">
        <f aca="false">I142</f>
        <v>1</v>
      </c>
      <c r="AL142" s="8" t="n">
        <f aca="false">J142</f>
        <v>0</v>
      </c>
      <c r="AM142" s="9" t="n">
        <f aca="false">K142</f>
        <v>0.38</v>
      </c>
      <c r="AN142" s="6" t="n">
        <f aca="false">$R$2 + SUMPRODUCT(AD142:AM142,$S$2:$AB$2)</f>
        <v>-1.751290818</v>
      </c>
      <c r="AO142" s="6" t="n">
        <f aca="false">1/(1+EXP(-AN142))</f>
        <v>0.147884462112158</v>
      </c>
    </row>
    <row r="143" customFormat="false" ht="15" hidden="false" customHeight="false" outlineLevel="0" collapsed="false">
      <c r="A143" s="3" t="s">
        <v>207</v>
      </c>
      <c r="B143" s="4" t="n">
        <v>64</v>
      </c>
      <c r="C143" s="4" t="n">
        <v>88000</v>
      </c>
      <c r="D143" s="4" t="n">
        <v>9</v>
      </c>
      <c r="E143" s="5" t="n">
        <v>41.3</v>
      </c>
      <c r="F143" s="4" t="n">
        <v>10</v>
      </c>
      <c r="G143" s="5" t="n">
        <v>0.12</v>
      </c>
      <c r="H143" s="4" t="n">
        <v>205</v>
      </c>
      <c r="I143" s="4" t="n">
        <v>0</v>
      </c>
      <c r="J143" s="4" t="n">
        <v>0</v>
      </c>
      <c r="K143" s="5" t="n">
        <v>0.3</v>
      </c>
      <c r="L143" s="4" t="n">
        <v>0</v>
      </c>
      <c r="M143" s="6" t="n">
        <f aca="false">$R$2 + SUMPRODUCT(B143:K143,$S$2:$AB$2)</f>
        <v>-0.0745856799999993</v>
      </c>
      <c r="N143" s="6" t="n">
        <f aca="false">1/(1+EXP(-M143))</f>
        <v>0.481362219400218</v>
      </c>
      <c r="O143" s="6" t="n">
        <f aca="false">IF(L143=1,N143,1-N143)</f>
        <v>0.518637780599782</v>
      </c>
      <c r="P143" s="6" t="n">
        <f aca="false">LN(O143)</f>
        <v>-0.65654955739383</v>
      </c>
      <c r="AD143" s="8" t="n">
        <f aca="false">B143</f>
        <v>64</v>
      </c>
      <c r="AE143" s="8" t="n">
        <f aca="false">C143</f>
        <v>88000</v>
      </c>
      <c r="AF143" s="8" t="n">
        <f aca="false">D143</f>
        <v>9</v>
      </c>
      <c r="AG143" s="9" t="n">
        <f aca="false">E143*0.85</f>
        <v>35.105</v>
      </c>
      <c r="AH143" s="9" t="n">
        <f aca="false">F143*0.9</f>
        <v>9</v>
      </c>
      <c r="AI143" s="9" t="n">
        <f aca="false">G143</f>
        <v>0.12</v>
      </c>
      <c r="AJ143" s="9" t="n">
        <f aca="false">H143*1.2</f>
        <v>246</v>
      </c>
      <c r="AK143" s="8" t="n">
        <f aca="false">I143</f>
        <v>0</v>
      </c>
      <c r="AL143" s="8" t="n">
        <f aca="false">J143</f>
        <v>0</v>
      </c>
      <c r="AM143" s="9" t="n">
        <f aca="false">K143</f>
        <v>0.3</v>
      </c>
      <c r="AN143" s="6" t="n">
        <f aca="false">$R$2 + SUMPRODUCT(AD143:AM143,$S$2:$AB$2)</f>
        <v>-0.509944115</v>
      </c>
      <c r="AO143" s="6" t="n">
        <f aca="false">1/(1+EXP(-AN143))</f>
        <v>0.375206626371519</v>
      </c>
    </row>
    <row r="144" customFormat="false" ht="15" hidden="false" customHeight="false" outlineLevel="0" collapsed="false">
      <c r="A144" s="3" t="s">
        <v>208</v>
      </c>
      <c r="B144" s="4" t="n">
        <v>31</v>
      </c>
      <c r="C144" s="4" t="n">
        <v>76200</v>
      </c>
      <c r="D144" s="4" t="n">
        <v>4</v>
      </c>
      <c r="E144" s="5" t="n">
        <v>44.14</v>
      </c>
      <c r="F144" s="4" t="n">
        <v>5</v>
      </c>
      <c r="G144" s="5" t="n">
        <v>0.07</v>
      </c>
      <c r="H144" s="4" t="n">
        <v>113</v>
      </c>
      <c r="I144" s="4" t="n">
        <v>1</v>
      </c>
      <c r="J144" s="4" t="n">
        <v>1</v>
      </c>
      <c r="K144" s="5" t="n">
        <v>0.43</v>
      </c>
      <c r="L144" s="4" t="n">
        <v>1</v>
      </c>
      <c r="M144" s="6" t="n">
        <f aca="false">$R$2 + SUMPRODUCT(B144:K144,$S$2:$AB$2)</f>
        <v>0.49727678</v>
      </c>
      <c r="N144" s="6" t="n">
        <f aca="false">1/(1+EXP(-M144))</f>
        <v>0.621819151298778</v>
      </c>
      <c r="O144" s="6" t="n">
        <f aca="false">IF(L144=1,N144,1-N144)</f>
        <v>0.621819151298778</v>
      </c>
      <c r="P144" s="6" t="n">
        <f aca="false">LN(O144)</f>
        <v>-0.475105982058906</v>
      </c>
      <c r="AD144" s="8" t="n">
        <f aca="false">B144</f>
        <v>31</v>
      </c>
      <c r="AE144" s="8" t="n">
        <f aca="false">C144</f>
        <v>76200</v>
      </c>
      <c r="AF144" s="8" t="n">
        <f aca="false">D144</f>
        <v>4</v>
      </c>
      <c r="AG144" s="9" t="n">
        <f aca="false">E144*0.85</f>
        <v>37.519</v>
      </c>
      <c r="AH144" s="9" t="n">
        <f aca="false">F144*0.9</f>
        <v>4.5</v>
      </c>
      <c r="AI144" s="9" t="n">
        <f aca="false">G144</f>
        <v>0.07</v>
      </c>
      <c r="AJ144" s="9" t="n">
        <f aca="false">H144*1.2</f>
        <v>135.6</v>
      </c>
      <c r="AK144" s="8" t="n">
        <f aca="false">I144</f>
        <v>1</v>
      </c>
      <c r="AL144" s="8" t="n">
        <f aca="false">J144</f>
        <v>1</v>
      </c>
      <c r="AM144" s="9" t="n">
        <f aca="false">K144</f>
        <v>0.43</v>
      </c>
      <c r="AN144" s="6" t="n">
        <f aca="false">$R$2 + SUMPRODUCT(AD144:AM144,$S$2:$AB$2)</f>
        <v>0.220174587</v>
      </c>
      <c r="AO144" s="6" t="n">
        <f aca="false">1/(1+EXP(-AN144))</f>
        <v>0.554822357550204</v>
      </c>
    </row>
    <row r="145" customFormat="false" ht="15" hidden="false" customHeight="false" outlineLevel="0" collapsed="false">
      <c r="A145" s="3" t="s">
        <v>209</v>
      </c>
      <c r="B145" s="4" t="n">
        <v>20</v>
      </c>
      <c r="C145" s="4" t="n">
        <v>46600</v>
      </c>
      <c r="D145" s="4" t="n">
        <v>7</v>
      </c>
      <c r="E145" s="5" t="n">
        <v>84.1</v>
      </c>
      <c r="F145" s="4" t="n">
        <v>6</v>
      </c>
      <c r="G145" s="5" t="n">
        <v>0.45</v>
      </c>
      <c r="H145" s="4" t="n">
        <v>168</v>
      </c>
      <c r="I145" s="4" t="n">
        <v>0</v>
      </c>
      <c r="J145" s="4" t="n">
        <v>0</v>
      </c>
      <c r="K145" s="5" t="n">
        <v>0.19</v>
      </c>
      <c r="L145" s="4" t="n">
        <v>1</v>
      </c>
      <c r="M145" s="6" t="n">
        <f aca="false">$R$2 + SUMPRODUCT(B145:K145,$S$2:$AB$2)</f>
        <v>-0.154087479999999</v>
      </c>
      <c r="N145" s="6" t="n">
        <f aca="false">1/(1+EXP(-M145))</f>
        <v>0.461554168042581</v>
      </c>
      <c r="O145" s="6" t="n">
        <f aca="false">IF(L145=1,N145,1-N145)</f>
        <v>0.461554168042581</v>
      </c>
      <c r="P145" s="6" t="n">
        <f aca="false">LN(O145)</f>
        <v>-0.773155858053589</v>
      </c>
      <c r="AD145" s="8" t="n">
        <f aca="false">B145</f>
        <v>20</v>
      </c>
      <c r="AE145" s="8" t="n">
        <f aca="false">C145</f>
        <v>46600</v>
      </c>
      <c r="AF145" s="8" t="n">
        <f aca="false">D145</f>
        <v>7</v>
      </c>
      <c r="AG145" s="9" t="n">
        <f aca="false">E145*0.85</f>
        <v>71.485</v>
      </c>
      <c r="AH145" s="9" t="n">
        <f aca="false">F145*0.9</f>
        <v>5.4</v>
      </c>
      <c r="AI145" s="9" t="n">
        <f aca="false">G145</f>
        <v>0.45</v>
      </c>
      <c r="AJ145" s="9" t="n">
        <f aca="false">H145*1.2</f>
        <v>201.6</v>
      </c>
      <c r="AK145" s="8" t="n">
        <f aca="false">I145</f>
        <v>0</v>
      </c>
      <c r="AL145" s="8" t="n">
        <f aca="false">J145</f>
        <v>0</v>
      </c>
      <c r="AM145" s="9" t="n">
        <f aca="false">K145</f>
        <v>0.19</v>
      </c>
      <c r="AN145" s="6" t="n">
        <f aca="false">$R$2 + SUMPRODUCT(AD145:AM145,$S$2:$AB$2)</f>
        <v>-0.586651374999999</v>
      </c>
      <c r="AO145" s="6" t="n">
        <f aca="false">1/(1+EXP(-AN145))</f>
        <v>0.357403552689428</v>
      </c>
    </row>
    <row r="146" customFormat="false" ht="15" hidden="false" customHeight="false" outlineLevel="0" collapsed="false">
      <c r="A146" s="3" t="s">
        <v>210</v>
      </c>
      <c r="B146" s="4" t="n">
        <v>18</v>
      </c>
      <c r="C146" s="4" t="n">
        <v>24200</v>
      </c>
      <c r="D146" s="4" t="n">
        <v>4</v>
      </c>
      <c r="E146" s="5" t="n">
        <v>26.43</v>
      </c>
      <c r="F146" s="4" t="n">
        <v>3</v>
      </c>
      <c r="G146" s="5" t="n">
        <v>0.36</v>
      </c>
      <c r="H146" s="4" t="n">
        <v>353</v>
      </c>
      <c r="I146" s="4" t="n">
        <v>1</v>
      </c>
      <c r="J146" s="4" t="n">
        <v>0</v>
      </c>
      <c r="K146" s="5" t="n">
        <v>0.74</v>
      </c>
      <c r="L146" s="4" t="n">
        <v>0</v>
      </c>
      <c r="M146" s="6" t="n">
        <f aca="false">$R$2 + SUMPRODUCT(B146:K146,$S$2:$AB$2)</f>
        <v>-2.19805583</v>
      </c>
      <c r="N146" s="6" t="n">
        <f aca="false">1/(1+EXP(-M146))</f>
        <v>0.0999252121316121</v>
      </c>
      <c r="O146" s="6" t="n">
        <f aca="false">IF(L146=1,N146,1-N146)</f>
        <v>0.900074787868388</v>
      </c>
      <c r="P146" s="6" t="n">
        <f aca="false">LN(O146)</f>
        <v>-0.105277421478701</v>
      </c>
      <c r="AD146" s="8" t="n">
        <f aca="false">B146</f>
        <v>18</v>
      </c>
      <c r="AE146" s="8" t="n">
        <f aca="false">C146</f>
        <v>24200</v>
      </c>
      <c r="AF146" s="8" t="n">
        <f aca="false">D146</f>
        <v>4</v>
      </c>
      <c r="AG146" s="9" t="n">
        <f aca="false">E146*0.85</f>
        <v>22.4655</v>
      </c>
      <c r="AH146" s="9" t="n">
        <f aca="false">F146*0.9</f>
        <v>2.7</v>
      </c>
      <c r="AI146" s="9" t="n">
        <f aca="false">G146</f>
        <v>0.36</v>
      </c>
      <c r="AJ146" s="9" t="n">
        <f aca="false">H146*1.2</f>
        <v>423.6</v>
      </c>
      <c r="AK146" s="8" t="n">
        <f aca="false">I146</f>
        <v>1</v>
      </c>
      <c r="AL146" s="8" t="n">
        <f aca="false">J146</f>
        <v>0</v>
      </c>
      <c r="AM146" s="9" t="n">
        <f aca="false">K146</f>
        <v>0.74</v>
      </c>
      <c r="AN146" s="6" t="n">
        <f aca="false">$R$2 + SUMPRODUCT(AD146:AM146,$S$2:$AB$2)</f>
        <v>-2.6926446585</v>
      </c>
      <c r="AO146" s="6" t="n">
        <f aca="false">1/(1+EXP(-AN146))</f>
        <v>0.0634087756179588</v>
      </c>
    </row>
    <row r="147" customFormat="false" ht="15" hidden="false" customHeight="false" outlineLevel="0" collapsed="false">
      <c r="A147" s="3" t="s">
        <v>211</v>
      </c>
      <c r="B147" s="4" t="n">
        <v>22</v>
      </c>
      <c r="C147" s="4" t="n">
        <v>79400</v>
      </c>
      <c r="D147" s="4" t="n">
        <v>5</v>
      </c>
      <c r="E147" s="5" t="n">
        <v>49.18</v>
      </c>
      <c r="F147" s="4" t="n">
        <v>6</v>
      </c>
      <c r="G147" s="5" t="n">
        <v>0.71</v>
      </c>
      <c r="H147" s="4" t="n">
        <v>253</v>
      </c>
      <c r="I147" s="4" t="n">
        <v>0</v>
      </c>
      <c r="J147" s="4" t="n">
        <v>0</v>
      </c>
      <c r="K147" s="5" t="n">
        <v>0.15</v>
      </c>
      <c r="L147" s="4" t="n">
        <v>1</v>
      </c>
      <c r="M147" s="6" t="n">
        <f aca="false">$R$2 + SUMPRODUCT(B147:K147,$S$2:$AB$2)</f>
        <v>-0.3754807</v>
      </c>
      <c r="N147" s="6" t="n">
        <f aca="false">1/(1+EXP(-M147))</f>
        <v>0.407217358035605</v>
      </c>
      <c r="O147" s="6" t="n">
        <f aca="false">IF(L147=1,N147,1-N147)</f>
        <v>0.407217358035605</v>
      </c>
      <c r="P147" s="6" t="n">
        <f aca="false">LN(O147)</f>
        <v>-0.898408186865549</v>
      </c>
      <c r="AD147" s="8" t="n">
        <f aca="false">B147</f>
        <v>22</v>
      </c>
      <c r="AE147" s="8" t="n">
        <f aca="false">C147</f>
        <v>79400</v>
      </c>
      <c r="AF147" s="8" t="n">
        <f aca="false">D147</f>
        <v>5</v>
      </c>
      <c r="AG147" s="9" t="n">
        <f aca="false">E147*0.85</f>
        <v>41.803</v>
      </c>
      <c r="AH147" s="9" t="n">
        <f aca="false">F147*0.9</f>
        <v>5.4</v>
      </c>
      <c r="AI147" s="9" t="n">
        <f aca="false">G147</f>
        <v>0.71</v>
      </c>
      <c r="AJ147" s="9" t="n">
        <f aca="false">H147*1.2</f>
        <v>303.6</v>
      </c>
      <c r="AK147" s="8" t="n">
        <f aca="false">I147</f>
        <v>0</v>
      </c>
      <c r="AL147" s="8" t="n">
        <f aca="false">J147</f>
        <v>0</v>
      </c>
      <c r="AM147" s="9" t="n">
        <f aca="false">K147</f>
        <v>0.15</v>
      </c>
      <c r="AN147" s="6" t="n">
        <f aca="false">$R$2 + SUMPRODUCT(AD147:AM147,$S$2:$AB$2)</f>
        <v>-0.835568540999999</v>
      </c>
      <c r="AO147" s="6" t="n">
        <f aca="false">1/(1+EXP(-AN147))</f>
        <v>0.302468920517293</v>
      </c>
    </row>
    <row r="148" customFormat="false" ht="15" hidden="false" customHeight="false" outlineLevel="0" collapsed="false">
      <c r="A148" s="3" t="s">
        <v>212</v>
      </c>
      <c r="B148" s="4" t="n">
        <v>43</v>
      </c>
      <c r="C148" s="4" t="n">
        <v>52900</v>
      </c>
      <c r="D148" s="4" t="n">
        <v>5</v>
      </c>
      <c r="E148" s="5" t="n">
        <v>79.91</v>
      </c>
      <c r="F148" s="4" t="n">
        <v>4</v>
      </c>
      <c r="G148" s="5" t="n">
        <v>0.73</v>
      </c>
      <c r="H148" s="4" t="n">
        <v>186</v>
      </c>
      <c r="I148" s="4" t="n">
        <v>1</v>
      </c>
      <c r="J148" s="4" t="n">
        <v>1</v>
      </c>
      <c r="K148" s="5" t="n">
        <v>0.65</v>
      </c>
      <c r="L148" s="4" t="n">
        <v>0</v>
      </c>
      <c r="M148" s="6" t="n">
        <f aca="false">$R$2 + SUMPRODUCT(B148:K148,$S$2:$AB$2)</f>
        <v>1.29680531</v>
      </c>
      <c r="N148" s="6" t="n">
        <f aca="false">1/(1+EXP(-M148))</f>
        <v>0.785296830988875</v>
      </c>
      <c r="O148" s="6" t="n">
        <f aca="false">IF(L148=1,N148,1-N148)</f>
        <v>0.214703169011125</v>
      </c>
      <c r="P148" s="6" t="n">
        <f aca="false">LN(O148)</f>
        <v>-1.5384988140241</v>
      </c>
      <c r="AD148" s="8" t="n">
        <f aca="false">B148</f>
        <v>43</v>
      </c>
      <c r="AE148" s="8" t="n">
        <f aca="false">C148</f>
        <v>52900</v>
      </c>
      <c r="AF148" s="8" t="n">
        <f aca="false">D148</f>
        <v>5</v>
      </c>
      <c r="AG148" s="9" t="n">
        <f aca="false">E148*0.85</f>
        <v>67.9235</v>
      </c>
      <c r="AH148" s="9" t="n">
        <f aca="false">F148*0.9</f>
        <v>3.6</v>
      </c>
      <c r="AI148" s="9" t="n">
        <f aca="false">G148</f>
        <v>0.73</v>
      </c>
      <c r="AJ148" s="9" t="n">
        <f aca="false">H148*1.2</f>
        <v>223.2</v>
      </c>
      <c r="AK148" s="8" t="n">
        <f aca="false">I148</f>
        <v>1</v>
      </c>
      <c r="AL148" s="8" t="n">
        <f aca="false">J148</f>
        <v>1</v>
      </c>
      <c r="AM148" s="9" t="n">
        <f aca="false">K148</f>
        <v>0.65</v>
      </c>
      <c r="AN148" s="6" t="n">
        <f aca="false">$R$2 + SUMPRODUCT(AD148:AM148,$S$2:$AB$2)</f>
        <v>0.8751678555</v>
      </c>
      <c r="AO148" s="6" t="n">
        <f aca="false">1/(1+EXP(-AN148))</f>
        <v>0.705819882250943</v>
      </c>
    </row>
    <row r="149" customFormat="false" ht="15" hidden="false" customHeight="false" outlineLevel="0" collapsed="false">
      <c r="A149" s="3" t="s">
        <v>213</v>
      </c>
      <c r="B149" s="4" t="n">
        <v>31</v>
      </c>
      <c r="C149" s="4" t="n">
        <v>77300</v>
      </c>
      <c r="D149" s="4" t="n">
        <v>4</v>
      </c>
      <c r="E149" s="5" t="n">
        <v>49.14</v>
      </c>
      <c r="F149" s="4" t="n">
        <v>3</v>
      </c>
      <c r="G149" s="5" t="n">
        <v>0.23</v>
      </c>
      <c r="H149" s="4" t="n">
        <v>347</v>
      </c>
      <c r="I149" s="4" t="n">
        <v>0</v>
      </c>
      <c r="J149" s="4" t="n">
        <v>1</v>
      </c>
      <c r="K149" s="5" t="n">
        <v>0.16</v>
      </c>
      <c r="L149" s="4" t="n">
        <v>0</v>
      </c>
      <c r="M149" s="6" t="n">
        <f aca="false">$R$2 + SUMPRODUCT(B149:K149,$S$2:$AB$2)</f>
        <v>-1.75835277</v>
      </c>
      <c r="N149" s="6" t="n">
        <f aca="false">1/(1+EXP(-M149))</f>
        <v>0.146996763777171</v>
      </c>
      <c r="O149" s="6" t="n">
        <f aca="false">IF(L149=1,N149,1-N149)</f>
        <v>0.853003236222829</v>
      </c>
      <c r="P149" s="6" t="n">
        <f aca="false">LN(O149)</f>
        <v>-0.158991937567023</v>
      </c>
      <c r="AD149" s="8" t="n">
        <f aca="false">B149</f>
        <v>31</v>
      </c>
      <c r="AE149" s="8" t="n">
        <f aca="false">C149</f>
        <v>77300</v>
      </c>
      <c r="AF149" s="8" t="n">
        <f aca="false">D149</f>
        <v>4</v>
      </c>
      <c r="AG149" s="9" t="n">
        <f aca="false">E149*0.85</f>
        <v>41.769</v>
      </c>
      <c r="AH149" s="9" t="n">
        <f aca="false">F149*0.9</f>
        <v>2.7</v>
      </c>
      <c r="AI149" s="9" t="n">
        <f aca="false">G149</f>
        <v>0.23</v>
      </c>
      <c r="AJ149" s="9" t="n">
        <f aca="false">H149*1.2</f>
        <v>416.4</v>
      </c>
      <c r="AK149" s="8" t="n">
        <f aca="false">I149</f>
        <v>0</v>
      </c>
      <c r="AL149" s="8" t="n">
        <f aca="false">J149</f>
        <v>1</v>
      </c>
      <c r="AM149" s="9" t="n">
        <f aca="false">K149</f>
        <v>0.16</v>
      </c>
      <c r="AN149" s="6" t="n">
        <f aca="false">$R$2 + SUMPRODUCT(AD149:AM149,$S$2:$AB$2)</f>
        <v>-2.291791513</v>
      </c>
      <c r="AO149" s="6" t="n">
        <f aca="false">1/(1+EXP(-AN149))</f>
        <v>0.0918050698597505</v>
      </c>
    </row>
    <row r="150" customFormat="false" ht="15" hidden="false" customHeight="false" outlineLevel="0" collapsed="false">
      <c r="A150" s="3" t="s">
        <v>214</v>
      </c>
      <c r="B150" s="4" t="n">
        <v>56</v>
      </c>
      <c r="C150" s="4" t="n">
        <v>26300</v>
      </c>
      <c r="D150" s="4" t="n">
        <v>5</v>
      </c>
      <c r="E150" s="5" t="n">
        <v>59.1</v>
      </c>
      <c r="F150" s="4" t="n">
        <v>0</v>
      </c>
      <c r="G150" s="5" t="n">
        <v>0.48</v>
      </c>
      <c r="H150" s="4" t="n">
        <v>227</v>
      </c>
      <c r="I150" s="4" t="n">
        <v>0</v>
      </c>
      <c r="J150" s="4" t="n">
        <v>1</v>
      </c>
      <c r="K150" s="5" t="n">
        <v>0.67</v>
      </c>
      <c r="L150" s="4" t="n">
        <v>0</v>
      </c>
      <c r="M150" s="6" t="n">
        <f aca="false">$R$2 + SUMPRODUCT(B150:K150,$S$2:$AB$2)</f>
        <v>-1.55997451</v>
      </c>
      <c r="N150" s="6" t="n">
        <f aca="false">1/(1+EXP(-M150))</f>
        <v>0.173650304698467</v>
      </c>
      <c r="O150" s="6" t="n">
        <f aca="false">IF(L150=1,N150,1-N150)</f>
        <v>0.826349695301533</v>
      </c>
      <c r="P150" s="6" t="n">
        <f aca="false">LN(O150)</f>
        <v>-0.190737235123471</v>
      </c>
      <c r="AD150" s="8" t="n">
        <f aca="false">B150</f>
        <v>56</v>
      </c>
      <c r="AE150" s="8" t="n">
        <f aca="false">C150</f>
        <v>26300</v>
      </c>
      <c r="AF150" s="8" t="n">
        <f aca="false">D150</f>
        <v>5</v>
      </c>
      <c r="AG150" s="9" t="n">
        <f aca="false">E150*0.85</f>
        <v>50.235</v>
      </c>
      <c r="AH150" s="9" t="n">
        <f aca="false">F150*0.9</f>
        <v>0</v>
      </c>
      <c r="AI150" s="9" t="n">
        <f aca="false">G150</f>
        <v>0.48</v>
      </c>
      <c r="AJ150" s="9" t="n">
        <f aca="false">H150*1.2</f>
        <v>272.4</v>
      </c>
      <c r="AK150" s="8" t="n">
        <f aca="false">I150</f>
        <v>0</v>
      </c>
      <c r="AL150" s="8" t="n">
        <f aca="false">J150</f>
        <v>1</v>
      </c>
      <c r="AM150" s="9" t="n">
        <f aca="false">K150</f>
        <v>0.67</v>
      </c>
      <c r="AN150" s="6" t="n">
        <f aca="false">$R$2 + SUMPRODUCT(AD150:AM150,$S$2:$AB$2)</f>
        <v>-1.940471255</v>
      </c>
      <c r="AO150" s="6" t="n">
        <f aca="false">1/(1+EXP(-AN150))</f>
        <v>0.125596093351072</v>
      </c>
    </row>
    <row r="151" customFormat="false" ht="15" hidden="false" customHeight="false" outlineLevel="0" collapsed="false">
      <c r="A151" s="3" t="s">
        <v>215</v>
      </c>
      <c r="B151" s="4" t="n">
        <v>44</v>
      </c>
      <c r="C151" s="4" t="n">
        <v>44200</v>
      </c>
      <c r="D151" s="4" t="n">
        <v>6</v>
      </c>
      <c r="E151" s="5" t="n">
        <v>83.6</v>
      </c>
      <c r="F151" s="4" t="n">
        <v>5</v>
      </c>
      <c r="G151" s="5" t="n">
        <v>0.11</v>
      </c>
      <c r="H151" s="4" t="n">
        <v>16</v>
      </c>
      <c r="I151" s="4" t="n">
        <v>1</v>
      </c>
      <c r="J151" s="4" t="n">
        <v>0</v>
      </c>
      <c r="K151" s="5" t="n">
        <v>0.02</v>
      </c>
      <c r="L151" s="4" t="n">
        <v>1</v>
      </c>
      <c r="M151" s="6" t="n">
        <f aca="false">$R$2 + SUMPRODUCT(B151:K151,$S$2:$AB$2)</f>
        <v>0.0472892700000003</v>
      </c>
      <c r="N151" s="6" t="n">
        <f aca="false">1/(1+EXP(-M151))</f>
        <v>0.511820114829765</v>
      </c>
      <c r="O151" s="6" t="n">
        <f aca="false">IF(L151=1,N151,1-N151)</f>
        <v>0.511820114829765</v>
      </c>
      <c r="P151" s="6" t="n">
        <f aca="false">LN(O151)</f>
        <v>-0.669782053899479</v>
      </c>
      <c r="AD151" s="8" t="n">
        <f aca="false">B151</f>
        <v>44</v>
      </c>
      <c r="AE151" s="8" t="n">
        <f aca="false">C151</f>
        <v>44200</v>
      </c>
      <c r="AF151" s="8" t="n">
        <f aca="false">D151</f>
        <v>6</v>
      </c>
      <c r="AG151" s="9" t="n">
        <f aca="false">E151*0.85</f>
        <v>71.06</v>
      </c>
      <c r="AH151" s="9" t="n">
        <f aca="false">F151*0.9</f>
        <v>4.5</v>
      </c>
      <c r="AI151" s="9" t="n">
        <f aca="false">G151</f>
        <v>0.11</v>
      </c>
      <c r="AJ151" s="9" t="n">
        <f aca="false">H151*1.2</f>
        <v>19.2</v>
      </c>
      <c r="AK151" s="8" t="n">
        <f aca="false">I151</f>
        <v>1</v>
      </c>
      <c r="AL151" s="8" t="n">
        <f aca="false">J151</f>
        <v>0</v>
      </c>
      <c r="AM151" s="9" t="n">
        <f aca="false">K151</f>
        <v>0.02</v>
      </c>
      <c r="AN151" s="6" t="n">
        <f aca="false">$R$2 + SUMPRODUCT(AD151:AM151,$S$2:$AB$2)</f>
        <v>-0.19761765</v>
      </c>
      <c r="AO151" s="6" t="n">
        <f aca="false">1/(1+EXP(-AN151))</f>
        <v>0.450755743530821</v>
      </c>
    </row>
    <row r="152" customFormat="false" ht="15" hidden="false" customHeight="false" outlineLevel="0" collapsed="false">
      <c r="A152" s="3" t="s">
        <v>216</v>
      </c>
      <c r="B152" s="4" t="n">
        <v>26</v>
      </c>
      <c r="C152" s="4" t="n">
        <v>55100</v>
      </c>
      <c r="D152" s="4" t="n">
        <v>7</v>
      </c>
      <c r="E152" s="5" t="n">
        <v>75.54</v>
      </c>
      <c r="F152" s="4" t="n">
        <v>8</v>
      </c>
      <c r="G152" s="5" t="n">
        <v>0.17</v>
      </c>
      <c r="H152" s="4" t="n">
        <v>156</v>
      </c>
      <c r="I152" s="4" t="n">
        <v>1</v>
      </c>
      <c r="J152" s="4" t="n">
        <v>0</v>
      </c>
      <c r="K152" s="5" t="n">
        <v>0.36</v>
      </c>
      <c r="L152" s="4" t="n">
        <v>0</v>
      </c>
      <c r="M152" s="6" t="n">
        <f aca="false">$R$2 + SUMPRODUCT(B152:K152,$S$2:$AB$2)</f>
        <v>0.614918770000001</v>
      </c>
      <c r="N152" s="6" t="n">
        <f aca="false">1/(1+EXP(-M152))</f>
        <v>0.649062021857493</v>
      </c>
      <c r="O152" s="6" t="n">
        <f aca="false">IF(L152=1,N152,1-N152)</f>
        <v>0.350937978142507</v>
      </c>
      <c r="P152" s="6" t="n">
        <f aca="false">LN(O152)</f>
        <v>-1.04714577157833</v>
      </c>
      <c r="AD152" s="8" t="n">
        <f aca="false">B152</f>
        <v>26</v>
      </c>
      <c r="AE152" s="8" t="n">
        <f aca="false">C152</f>
        <v>55100</v>
      </c>
      <c r="AF152" s="8" t="n">
        <f aca="false">D152</f>
        <v>7</v>
      </c>
      <c r="AG152" s="9" t="n">
        <f aca="false">E152*0.85</f>
        <v>64.209</v>
      </c>
      <c r="AH152" s="9" t="n">
        <f aca="false">F152*0.9</f>
        <v>7.2</v>
      </c>
      <c r="AI152" s="9" t="n">
        <f aca="false">G152</f>
        <v>0.17</v>
      </c>
      <c r="AJ152" s="9" t="n">
        <f aca="false">H152*1.2</f>
        <v>187.2</v>
      </c>
      <c r="AK152" s="8" t="n">
        <f aca="false">I152</f>
        <v>1</v>
      </c>
      <c r="AL152" s="8" t="n">
        <f aca="false">J152</f>
        <v>0</v>
      </c>
      <c r="AM152" s="9" t="n">
        <f aca="false">K152</f>
        <v>0.36</v>
      </c>
      <c r="AN152" s="6" t="n">
        <f aca="false">$R$2 + SUMPRODUCT(AD152:AM152,$S$2:$AB$2)</f>
        <v>0.190209447000001</v>
      </c>
      <c r="AO152" s="6" t="n">
        <f aca="false">1/(1+EXP(-AN152))</f>
        <v>0.547409509642191</v>
      </c>
    </row>
    <row r="153" customFormat="false" ht="15" hidden="false" customHeight="false" outlineLevel="0" collapsed="false">
      <c r="A153" s="3" t="s">
        <v>217</v>
      </c>
      <c r="B153" s="4" t="n">
        <v>32</v>
      </c>
      <c r="C153" s="4" t="n">
        <v>55800</v>
      </c>
      <c r="D153" s="4" t="n">
        <v>5</v>
      </c>
      <c r="E153" s="5" t="n">
        <v>71.67</v>
      </c>
      <c r="F153" s="4" t="n">
        <v>2</v>
      </c>
      <c r="G153" s="5" t="n">
        <v>0.39</v>
      </c>
      <c r="H153" s="4" t="n">
        <v>354</v>
      </c>
      <c r="I153" s="4" t="n">
        <v>0</v>
      </c>
      <c r="J153" s="4" t="n">
        <v>1</v>
      </c>
      <c r="K153" s="5" t="n">
        <v>0.31</v>
      </c>
      <c r="L153" s="4" t="n">
        <v>0</v>
      </c>
      <c r="M153" s="6" t="n">
        <f aca="false">$R$2 + SUMPRODUCT(B153:K153,$S$2:$AB$2)</f>
        <v>-1.49391797</v>
      </c>
      <c r="N153" s="6" t="n">
        <f aca="false">1/(1+EXP(-M153))</f>
        <v>0.183334389672723</v>
      </c>
      <c r="O153" s="6" t="n">
        <f aca="false">IF(L153=1,N153,1-N153)</f>
        <v>0.816665610327277</v>
      </c>
      <c r="P153" s="6" t="n">
        <f aca="false">LN(O153)</f>
        <v>-0.202525557589114</v>
      </c>
      <c r="AD153" s="8" t="n">
        <f aca="false">B153</f>
        <v>32</v>
      </c>
      <c r="AE153" s="8" t="n">
        <f aca="false">C153</f>
        <v>55800</v>
      </c>
      <c r="AF153" s="8" t="n">
        <f aca="false">D153</f>
        <v>5</v>
      </c>
      <c r="AG153" s="9" t="n">
        <f aca="false">E153*0.85</f>
        <v>60.9195</v>
      </c>
      <c r="AH153" s="9" t="n">
        <f aca="false">F153*0.9</f>
        <v>1.8</v>
      </c>
      <c r="AI153" s="9" t="n">
        <f aca="false">G153</f>
        <v>0.39</v>
      </c>
      <c r="AJ153" s="9" t="n">
        <f aca="false">H153*1.2</f>
        <v>424.8</v>
      </c>
      <c r="AK153" s="8" t="n">
        <f aca="false">I153</f>
        <v>0</v>
      </c>
      <c r="AL153" s="8" t="n">
        <f aca="false">J153</f>
        <v>1</v>
      </c>
      <c r="AM153" s="9" t="n">
        <f aca="false">K153</f>
        <v>0.31</v>
      </c>
      <c r="AN153" s="6" t="n">
        <f aca="false">$R$2 + SUMPRODUCT(AD153:AM153,$S$2:$AB$2)</f>
        <v>-2.0692084365</v>
      </c>
      <c r="AO153" s="6" t="n">
        <f aca="false">1/(1+EXP(-AN153))</f>
        <v>0.11212581737631</v>
      </c>
    </row>
    <row r="154" customFormat="false" ht="15" hidden="false" customHeight="false" outlineLevel="0" collapsed="false">
      <c r="A154" s="3" t="s">
        <v>218</v>
      </c>
      <c r="B154" s="4" t="n">
        <v>32</v>
      </c>
      <c r="C154" s="4" t="n">
        <v>46900</v>
      </c>
      <c r="D154" s="4" t="n">
        <v>5</v>
      </c>
      <c r="E154" s="5" t="n">
        <v>56.52</v>
      </c>
      <c r="F154" s="4" t="n">
        <v>3</v>
      </c>
      <c r="G154" s="5" t="n">
        <v>0.54</v>
      </c>
      <c r="H154" s="4" t="n">
        <v>111</v>
      </c>
      <c r="I154" s="4" t="n">
        <v>1</v>
      </c>
      <c r="J154" s="4" t="n">
        <v>1</v>
      </c>
      <c r="K154" s="5" t="n">
        <v>0.51</v>
      </c>
      <c r="L154" s="4" t="n">
        <v>0</v>
      </c>
      <c r="M154" s="6" t="n">
        <f aca="false">$R$2 + SUMPRODUCT(B154:K154,$S$2:$AB$2)</f>
        <v>0.81390733</v>
      </c>
      <c r="N154" s="6" t="n">
        <f aca="false">1/(1+EXP(-M154))</f>
        <v>0.692941507050843</v>
      </c>
      <c r="O154" s="6" t="n">
        <f aca="false">IF(L154=1,N154,1-N154)</f>
        <v>0.307058492949157</v>
      </c>
      <c r="P154" s="6" t="n">
        <f aca="false">LN(O154)</f>
        <v>-1.18071701876461</v>
      </c>
      <c r="AD154" s="8" t="n">
        <f aca="false">B154</f>
        <v>32</v>
      </c>
      <c r="AE154" s="8" t="n">
        <f aca="false">C154</f>
        <v>46900</v>
      </c>
      <c r="AF154" s="8" t="n">
        <f aca="false">D154</f>
        <v>5</v>
      </c>
      <c r="AG154" s="9" t="n">
        <f aca="false">E154*0.85</f>
        <v>48.042</v>
      </c>
      <c r="AH154" s="9" t="n">
        <f aca="false">F154*0.9</f>
        <v>2.7</v>
      </c>
      <c r="AI154" s="9" t="n">
        <f aca="false">G154</f>
        <v>0.54</v>
      </c>
      <c r="AJ154" s="9" t="n">
        <f aca="false">H154*1.2</f>
        <v>133.2</v>
      </c>
      <c r="AK154" s="8" t="n">
        <f aca="false">I154</f>
        <v>1</v>
      </c>
      <c r="AL154" s="8" t="n">
        <f aca="false">J154</f>
        <v>1</v>
      </c>
      <c r="AM154" s="9" t="n">
        <f aca="false">K154</f>
        <v>0.51</v>
      </c>
      <c r="AN154" s="6" t="n">
        <f aca="false">$R$2 + SUMPRODUCT(AD154:AM154,$S$2:$AB$2)</f>
        <v>0.537375856000001</v>
      </c>
      <c r="AO154" s="6" t="n">
        <f aca="false">1/(1+EXP(-AN154))</f>
        <v>0.631201764089896</v>
      </c>
    </row>
    <row r="155" customFormat="false" ht="15" hidden="false" customHeight="false" outlineLevel="0" collapsed="false">
      <c r="A155" s="3" t="s">
        <v>219</v>
      </c>
      <c r="B155" s="4" t="n">
        <v>43</v>
      </c>
      <c r="C155" s="4" t="n">
        <v>66200</v>
      </c>
      <c r="D155" s="4" t="n">
        <v>5</v>
      </c>
      <c r="E155" s="5" t="n">
        <v>74.25</v>
      </c>
      <c r="F155" s="4" t="n">
        <v>6</v>
      </c>
      <c r="G155" s="5" t="n">
        <v>0.15</v>
      </c>
      <c r="H155" s="4" t="n">
        <v>1</v>
      </c>
      <c r="I155" s="4" t="n">
        <v>0</v>
      </c>
      <c r="J155" s="4" t="n">
        <v>1</v>
      </c>
      <c r="K155" s="5" t="n">
        <v>0.06</v>
      </c>
      <c r="L155" s="4" t="n">
        <v>0</v>
      </c>
      <c r="M155" s="6" t="n">
        <f aca="false">$R$2 + SUMPRODUCT(B155:K155,$S$2:$AB$2)</f>
        <v>0.46866288</v>
      </c>
      <c r="N155" s="6" t="n">
        <f aca="false">1/(1+EXP(-M155))</f>
        <v>0.615067229232357</v>
      </c>
      <c r="O155" s="6" t="n">
        <f aca="false">IF(L155=1,N155,1-N155)</f>
        <v>0.384932770767643</v>
      </c>
      <c r="P155" s="6" t="n">
        <f aca="false">LN(O155)</f>
        <v>-0.954686581325188</v>
      </c>
      <c r="AD155" s="8" t="n">
        <f aca="false">B155</f>
        <v>43</v>
      </c>
      <c r="AE155" s="8" t="n">
        <f aca="false">C155</f>
        <v>66200</v>
      </c>
      <c r="AF155" s="8" t="n">
        <f aca="false">D155</f>
        <v>5</v>
      </c>
      <c r="AG155" s="9" t="n">
        <f aca="false">E155*0.85</f>
        <v>63.1125</v>
      </c>
      <c r="AH155" s="9" t="n">
        <f aca="false">F155*0.9</f>
        <v>5.4</v>
      </c>
      <c r="AI155" s="9" t="n">
        <f aca="false">G155</f>
        <v>0.15</v>
      </c>
      <c r="AJ155" s="9" t="n">
        <f aca="false">H155*1.2</f>
        <v>1.2</v>
      </c>
      <c r="AK155" s="8" t="n">
        <f aca="false">I155</f>
        <v>0</v>
      </c>
      <c r="AL155" s="8" t="n">
        <f aca="false">J155</f>
        <v>1</v>
      </c>
      <c r="AM155" s="9" t="n">
        <f aca="false">K155</f>
        <v>0.06</v>
      </c>
      <c r="AN155" s="6" t="n">
        <f aca="false">$R$2 + SUMPRODUCT(AD155:AM155,$S$2:$AB$2)</f>
        <v>0.248263442500001</v>
      </c>
      <c r="AO155" s="6" t="n">
        <f aca="false">1/(1+EXP(-AN155))</f>
        <v>0.561749028850372</v>
      </c>
    </row>
    <row r="156" customFormat="false" ht="15" hidden="false" customHeight="false" outlineLevel="0" collapsed="false">
      <c r="A156" s="3" t="s">
        <v>220</v>
      </c>
      <c r="B156" s="4" t="n">
        <v>59</v>
      </c>
      <c r="C156" s="4" t="n">
        <v>35800</v>
      </c>
      <c r="D156" s="4" t="n">
        <v>6</v>
      </c>
      <c r="E156" s="5" t="n">
        <v>61.91</v>
      </c>
      <c r="F156" s="4" t="n">
        <v>1</v>
      </c>
      <c r="G156" s="5" t="n">
        <v>0.64</v>
      </c>
      <c r="H156" s="4" t="n">
        <v>41</v>
      </c>
      <c r="I156" s="4" t="n">
        <v>1</v>
      </c>
      <c r="J156" s="4" t="n">
        <v>1</v>
      </c>
      <c r="K156" s="5" t="n">
        <v>0.07</v>
      </c>
      <c r="L156" s="4" t="n">
        <v>0</v>
      </c>
      <c r="M156" s="6" t="n">
        <f aca="false">$R$2 + SUMPRODUCT(B156:K156,$S$2:$AB$2)</f>
        <v>0.343325780000001</v>
      </c>
      <c r="N156" s="6" t="n">
        <f aca="false">1/(1+EXP(-M156))</f>
        <v>0.584998167775619</v>
      </c>
      <c r="O156" s="6" t="n">
        <f aca="false">IF(L156=1,N156,1-N156)</f>
        <v>0.415001832224381</v>
      </c>
      <c r="P156" s="6" t="n">
        <f aca="false">LN(O156)</f>
        <v>-0.879472343762676</v>
      </c>
      <c r="AD156" s="8" t="n">
        <f aca="false">B156</f>
        <v>59</v>
      </c>
      <c r="AE156" s="8" t="n">
        <f aca="false">C156</f>
        <v>35800</v>
      </c>
      <c r="AF156" s="8" t="n">
        <f aca="false">D156</f>
        <v>6</v>
      </c>
      <c r="AG156" s="9" t="n">
        <f aca="false">E156*0.85</f>
        <v>52.6235</v>
      </c>
      <c r="AH156" s="9" t="n">
        <f aca="false">F156*0.9</f>
        <v>0.9</v>
      </c>
      <c r="AI156" s="9" t="n">
        <f aca="false">G156</f>
        <v>0.64</v>
      </c>
      <c r="AJ156" s="9" t="n">
        <f aca="false">H156*1.2</f>
        <v>49.2</v>
      </c>
      <c r="AK156" s="8" t="n">
        <f aca="false">I156</f>
        <v>1</v>
      </c>
      <c r="AL156" s="8" t="n">
        <f aca="false">J156</f>
        <v>1</v>
      </c>
      <c r="AM156" s="9" t="n">
        <f aca="false">K156</f>
        <v>0.07</v>
      </c>
      <c r="AN156" s="6" t="n">
        <f aca="false">$R$2 + SUMPRODUCT(AD156:AM156,$S$2:$AB$2)</f>
        <v>0.1597583255</v>
      </c>
      <c r="AO156" s="6" t="n">
        <f aca="false">1/(1+EXP(-AN156))</f>
        <v>0.539854850387076</v>
      </c>
    </row>
    <row r="157" customFormat="false" ht="15" hidden="false" customHeight="false" outlineLevel="0" collapsed="false">
      <c r="A157" s="3" t="s">
        <v>221</v>
      </c>
      <c r="B157" s="4" t="n">
        <v>30</v>
      </c>
      <c r="C157" s="4" t="n">
        <v>52400</v>
      </c>
      <c r="D157" s="4" t="n">
        <v>5</v>
      </c>
      <c r="E157" s="5" t="n">
        <v>76.45</v>
      </c>
      <c r="F157" s="4" t="n">
        <v>5</v>
      </c>
      <c r="G157" s="5" t="n">
        <v>0.65</v>
      </c>
      <c r="H157" s="4" t="n">
        <v>48</v>
      </c>
      <c r="I157" s="4" t="n">
        <v>0</v>
      </c>
      <c r="J157" s="4" t="n">
        <v>0</v>
      </c>
      <c r="K157" s="5" t="n">
        <v>0.49</v>
      </c>
      <c r="L157" s="4" t="n">
        <v>1</v>
      </c>
      <c r="M157" s="6" t="n">
        <f aca="false">$R$2 + SUMPRODUCT(B157:K157,$S$2:$AB$2)</f>
        <v>0.63030317</v>
      </c>
      <c r="N157" s="6" t="n">
        <f aca="false">1/(1+EXP(-M157))</f>
        <v>0.652558201891418</v>
      </c>
      <c r="O157" s="6" t="n">
        <f aca="false">IF(L157=1,N157,1-N157)</f>
        <v>0.652558201891418</v>
      </c>
      <c r="P157" s="6" t="n">
        <f aca="false">LN(O157)</f>
        <v>-0.426854945462197</v>
      </c>
      <c r="AD157" s="8" t="n">
        <f aca="false">B157</f>
        <v>30</v>
      </c>
      <c r="AE157" s="8" t="n">
        <f aca="false">C157</f>
        <v>52400</v>
      </c>
      <c r="AF157" s="8" t="n">
        <f aca="false">D157</f>
        <v>5</v>
      </c>
      <c r="AG157" s="9" t="n">
        <f aca="false">E157*0.85</f>
        <v>64.9825</v>
      </c>
      <c r="AH157" s="9" t="n">
        <f aca="false">F157*0.9</f>
        <v>4.5</v>
      </c>
      <c r="AI157" s="9" t="n">
        <f aca="false">G157</f>
        <v>0.65</v>
      </c>
      <c r="AJ157" s="9" t="n">
        <f aca="false">H157*1.2</f>
        <v>57.6</v>
      </c>
      <c r="AK157" s="8" t="n">
        <f aca="false">I157</f>
        <v>0</v>
      </c>
      <c r="AL157" s="8" t="n">
        <f aca="false">J157</f>
        <v>0</v>
      </c>
      <c r="AM157" s="9" t="n">
        <f aca="false">K157</f>
        <v>0.49</v>
      </c>
      <c r="AN157" s="6" t="n">
        <f aca="false">$R$2 + SUMPRODUCT(AD157:AM157,$S$2:$AB$2)</f>
        <v>0.362951942500001</v>
      </c>
      <c r="AO157" s="6" t="n">
        <f aca="false">1/(1+EXP(-AN157))</f>
        <v>0.589754827804771</v>
      </c>
    </row>
    <row r="158" customFormat="false" ht="15" hidden="false" customHeight="false" outlineLevel="0" collapsed="false">
      <c r="A158" s="3" t="s">
        <v>222</v>
      </c>
      <c r="B158" s="4" t="n">
        <v>68</v>
      </c>
      <c r="C158" s="4" t="n">
        <v>57200</v>
      </c>
      <c r="D158" s="4" t="n">
        <v>8</v>
      </c>
      <c r="E158" s="5" t="n">
        <v>52.58</v>
      </c>
      <c r="F158" s="4" t="n">
        <v>5</v>
      </c>
      <c r="G158" s="5" t="n">
        <v>0.34</v>
      </c>
      <c r="H158" s="4" t="n">
        <v>108</v>
      </c>
      <c r="I158" s="4" t="n">
        <v>1</v>
      </c>
      <c r="J158" s="4" t="n">
        <v>1</v>
      </c>
      <c r="K158" s="5" t="n">
        <v>0.27</v>
      </c>
      <c r="L158" s="4" t="n">
        <v>0</v>
      </c>
      <c r="M158" s="6" t="n">
        <f aca="false">$R$2 + SUMPRODUCT(B158:K158,$S$2:$AB$2)</f>
        <v>0.79538619</v>
      </c>
      <c r="N158" s="6" t="n">
        <f aca="false">1/(1+EXP(-M158))</f>
        <v>0.688986678367805</v>
      </c>
      <c r="O158" s="6" t="n">
        <f aca="false">IF(L158=1,N158,1-N158)</f>
        <v>0.311013321632195</v>
      </c>
      <c r="P158" s="6" t="n">
        <f aca="false">LN(O158)</f>
        <v>-1.16791953289008</v>
      </c>
      <c r="AD158" s="8" t="n">
        <f aca="false">B158</f>
        <v>68</v>
      </c>
      <c r="AE158" s="8" t="n">
        <f aca="false">C158</f>
        <v>57200</v>
      </c>
      <c r="AF158" s="8" t="n">
        <f aca="false">D158</f>
        <v>8</v>
      </c>
      <c r="AG158" s="9" t="n">
        <f aca="false">E158*0.85</f>
        <v>44.693</v>
      </c>
      <c r="AH158" s="9" t="n">
        <f aca="false">F158*0.9</f>
        <v>4.5</v>
      </c>
      <c r="AI158" s="9" t="n">
        <f aca="false">G158</f>
        <v>0.34</v>
      </c>
      <c r="AJ158" s="9" t="n">
        <f aca="false">H158*1.2</f>
        <v>129.6</v>
      </c>
      <c r="AK158" s="8" t="n">
        <f aca="false">I158</f>
        <v>1</v>
      </c>
      <c r="AL158" s="8" t="n">
        <f aca="false">J158</f>
        <v>1</v>
      </c>
      <c r="AM158" s="9" t="n">
        <f aca="false">K158</f>
        <v>0.27</v>
      </c>
      <c r="AN158" s="6" t="n">
        <f aca="false">$R$2 + SUMPRODUCT(AD158:AM158,$S$2:$AB$2)</f>
        <v>0.507035819</v>
      </c>
      <c r="AO158" s="6" t="n">
        <f aca="false">1/(1+EXP(-AN158))</f>
        <v>0.624111344592777</v>
      </c>
    </row>
    <row r="159" customFormat="false" ht="15" hidden="false" customHeight="false" outlineLevel="0" collapsed="false">
      <c r="A159" s="3" t="s">
        <v>223</v>
      </c>
      <c r="B159" s="4" t="n">
        <v>49</v>
      </c>
      <c r="C159" s="4" t="n">
        <v>64300</v>
      </c>
      <c r="D159" s="4" t="n">
        <v>4</v>
      </c>
      <c r="E159" s="5" t="n">
        <v>60.44</v>
      </c>
      <c r="F159" s="4" t="n">
        <v>7</v>
      </c>
      <c r="G159" s="5" t="n">
        <v>0.15</v>
      </c>
      <c r="H159" s="4" t="n">
        <v>161</v>
      </c>
      <c r="I159" s="4" t="n">
        <v>0</v>
      </c>
      <c r="J159" s="4" t="n">
        <v>1</v>
      </c>
      <c r="K159" s="5" t="n">
        <v>0.38</v>
      </c>
      <c r="L159" s="4" t="n">
        <v>1</v>
      </c>
      <c r="M159" s="6" t="n">
        <f aca="false">$R$2 + SUMPRODUCT(B159:K159,$S$2:$AB$2)</f>
        <v>-0.45927629</v>
      </c>
      <c r="N159" s="6" t="n">
        <f aca="false">1/(1+EXP(-M159))</f>
        <v>0.387157522024513</v>
      </c>
      <c r="O159" s="6" t="n">
        <f aca="false">IF(L159=1,N159,1-N159)</f>
        <v>0.387157522024513</v>
      </c>
      <c r="P159" s="6" t="n">
        <f aca="false">LN(O159)</f>
        <v>-0.94892363511301</v>
      </c>
      <c r="AD159" s="8" t="n">
        <f aca="false">B159</f>
        <v>49</v>
      </c>
      <c r="AE159" s="8" t="n">
        <f aca="false">C159</f>
        <v>64300</v>
      </c>
      <c r="AF159" s="8" t="n">
        <f aca="false">D159</f>
        <v>4</v>
      </c>
      <c r="AG159" s="9" t="n">
        <f aca="false">E159*0.85</f>
        <v>51.374</v>
      </c>
      <c r="AH159" s="9" t="n">
        <f aca="false">F159*0.9</f>
        <v>6.3</v>
      </c>
      <c r="AI159" s="9" t="n">
        <f aca="false">G159</f>
        <v>0.15</v>
      </c>
      <c r="AJ159" s="9" t="n">
        <f aca="false">H159*1.2</f>
        <v>193.2</v>
      </c>
      <c r="AK159" s="8" t="n">
        <f aca="false">I159</f>
        <v>0</v>
      </c>
      <c r="AL159" s="8" t="n">
        <f aca="false">J159</f>
        <v>1</v>
      </c>
      <c r="AM159" s="9" t="n">
        <f aca="false">K159</f>
        <v>0.38</v>
      </c>
      <c r="AN159" s="6" t="n">
        <f aca="false">$R$2 + SUMPRODUCT(AD159:AM159,$S$2:$AB$2)</f>
        <v>-0.847711568</v>
      </c>
      <c r="AO159" s="6" t="n">
        <f aca="false">1/(1+EXP(-AN159))</f>
        <v>0.299913128590425</v>
      </c>
    </row>
    <row r="160" customFormat="false" ht="15" hidden="false" customHeight="false" outlineLevel="0" collapsed="false">
      <c r="A160" s="3" t="s">
        <v>224</v>
      </c>
      <c r="B160" s="4" t="n">
        <v>56</v>
      </c>
      <c r="C160" s="4" t="n">
        <v>67800</v>
      </c>
      <c r="D160" s="4" t="n">
        <v>7</v>
      </c>
      <c r="E160" s="5" t="n">
        <v>40.25</v>
      </c>
      <c r="F160" s="4" t="n">
        <v>5</v>
      </c>
      <c r="G160" s="5" t="n">
        <v>0.08</v>
      </c>
      <c r="H160" s="4" t="n">
        <v>161</v>
      </c>
      <c r="I160" s="4" t="n">
        <v>0</v>
      </c>
      <c r="J160" s="4" t="n">
        <v>0</v>
      </c>
      <c r="K160" s="5" t="n">
        <v>0.42</v>
      </c>
      <c r="L160" s="4" t="n">
        <v>0</v>
      </c>
      <c r="M160" s="6" t="n">
        <f aca="false">$R$2 + SUMPRODUCT(B160:K160,$S$2:$AB$2)</f>
        <v>-1.09532621</v>
      </c>
      <c r="N160" s="6" t="n">
        <f aca="false">1/(1+EXP(-M160))</f>
        <v>0.250616645782014</v>
      </c>
      <c r="O160" s="6" t="n">
        <f aca="false">IF(L160=1,N160,1-N160)</f>
        <v>0.749383354217986</v>
      </c>
      <c r="P160" s="6" t="n">
        <f aca="false">LN(O160)</f>
        <v>-0.288504605014978</v>
      </c>
      <c r="AD160" s="8" t="n">
        <f aca="false">B160</f>
        <v>56</v>
      </c>
      <c r="AE160" s="8" t="n">
        <f aca="false">C160</f>
        <v>67800</v>
      </c>
      <c r="AF160" s="8" t="n">
        <f aca="false">D160</f>
        <v>7</v>
      </c>
      <c r="AG160" s="9" t="n">
        <f aca="false">E160*0.85</f>
        <v>34.2125</v>
      </c>
      <c r="AH160" s="9" t="n">
        <f aca="false">F160*0.9</f>
        <v>4.5</v>
      </c>
      <c r="AI160" s="9" t="n">
        <f aca="false">G160</f>
        <v>0.08</v>
      </c>
      <c r="AJ160" s="9" t="n">
        <f aca="false">H160*1.2</f>
        <v>193.2</v>
      </c>
      <c r="AK160" s="8" t="n">
        <f aca="false">I160</f>
        <v>0</v>
      </c>
      <c r="AL160" s="8" t="n">
        <f aca="false">J160</f>
        <v>0</v>
      </c>
      <c r="AM160" s="9" t="n">
        <f aca="false">K160</f>
        <v>0.42</v>
      </c>
      <c r="AN160" s="6" t="n">
        <f aca="false">$R$2 + SUMPRODUCT(AD160:AM160,$S$2:$AB$2)</f>
        <v>-1.4198670475</v>
      </c>
      <c r="AO160" s="6" t="n">
        <f aca="false">1/(1+EXP(-AN160))</f>
        <v>0.194682427195247</v>
      </c>
    </row>
    <row r="161" customFormat="false" ht="15" hidden="false" customHeight="false" outlineLevel="0" collapsed="false">
      <c r="A161" s="3" t="s">
        <v>225</v>
      </c>
      <c r="B161" s="4" t="n">
        <v>66</v>
      </c>
      <c r="C161" s="4" t="n">
        <v>34800</v>
      </c>
      <c r="D161" s="4" t="n">
        <v>9</v>
      </c>
      <c r="E161" s="5" t="n">
        <v>64.12</v>
      </c>
      <c r="F161" s="4" t="n">
        <v>1</v>
      </c>
      <c r="G161" s="5" t="n">
        <v>0.92</v>
      </c>
      <c r="H161" s="4" t="n">
        <v>359</v>
      </c>
      <c r="I161" s="4" t="n">
        <v>0</v>
      </c>
      <c r="J161" s="4" t="n">
        <v>1</v>
      </c>
      <c r="K161" s="5" t="n">
        <v>0.35</v>
      </c>
      <c r="L161" s="4" t="n">
        <v>0</v>
      </c>
      <c r="M161" s="6" t="n">
        <f aca="false">$R$2 + SUMPRODUCT(B161:K161,$S$2:$AB$2)</f>
        <v>-0.93834317</v>
      </c>
      <c r="N161" s="6" t="n">
        <f aca="false">1/(1+EXP(-M161))</f>
        <v>0.281235135980048</v>
      </c>
      <c r="O161" s="6" t="n">
        <f aca="false">IF(L161=1,N161,1-N161)</f>
        <v>0.718764864019952</v>
      </c>
      <c r="P161" s="6" t="n">
        <f aca="false">LN(O161)</f>
        <v>-0.330221006708828</v>
      </c>
      <c r="AD161" s="8" t="n">
        <f aca="false">B161</f>
        <v>66</v>
      </c>
      <c r="AE161" s="8" t="n">
        <f aca="false">C161</f>
        <v>34800</v>
      </c>
      <c r="AF161" s="8" t="n">
        <f aca="false">D161</f>
        <v>9</v>
      </c>
      <c r="AG161" s="9" t="n">
        <f aca="false">E161*0.85</f>
        <v>54.502</v>
      </c>
      <c r="AH161" s="9" t="n">
        <f aca="false">F161*0.9</f>
        <v>0.9</v>
      </c>
      <c r="AI161" s="9" t="n">
        <f aca="false">G161</f>
        <v>0.92</v>
      </c>
      <c r="AJ161" s="9" t="n">
        <f aca="false">H161*1.2</f>
        <v>430.8</v>
      </c>
      <c r="AK161" s="8" t="n">
        <f aca="false">I161</f>
        <v>0</v>
      </c>
      <c r="AL161" s="8" t="n">
        <f aca="false">J161</f>
        <v>1</v>
      </c>
      <c r="AM161" s="9" t="n">
        <f aca="false">K161</f>
        <v>0.35</v>
      </c>
      <c r="AN161" s="6" t="n">
        <f aca="false">$R$2 + SUMPRODUCT(AD161:AM161,$S$2:$AB$2)</f>
        <v>-1.492572464</v>
      </c>
      <c r="AO161" s="6" t="n">
        <f aca="false">1/(1+EXP(-AN161))</f>
        <v>0.183535928561592</v>
      </c>
    </row>
    <row r="162" customFormat="false" ht="15" hidden="false" customHeight="false" outlineLevel="0" collapsed="false">
      <c r="A162" s="3" t="s">
        <v>226</v>
      </c>
      <c r="B162" s="4" t="n">
        <v>69</v>
      </c>
      <c r="C162" s="4" t="n">
        <v>27400</v>
      </c>
      <c r="D162" s="4" t="n">
        <v>10</v>
      </c>
      <c r="E162" s="5" t="n">
        <v>44.72</v>
      </c>
      <c r="F162" s="4" t="n">
        <v>4</v>
      </c>
      <c r="G162" s="5" t="n">
        <v>0.09</v>
      </c>
      <c r="H162" s="4" t="n">
        <v>128</v>
      </c>
      <c r="I162" s="4" t="n">
        <v>0</v>
      </c>
      <c r="J162" s="4" t="n">
        <v>0</v>
      </c>
      <c r="K162" s="5" t="n">
        <v>0.55</v>
      </c>
      <c r="L162" s="4" t="n">
        <v>0</v>
      </c>
      <c r="M162" s="6" t="n">
        <f aca="false">$R$2 + SUMPRODUCT(B162:K162,$S$2:$AB$2)</f>
        <v>-1.3087387</v>
      </c>
      <c r="N162" s="6" t="n">
        <f aca="false">1/(1+EXP(-M162))</f>
        <v>0.212697981791974</v>
      </c>
      <c r="O162" s="6" t="n">
        <f aca="false">IF(L162=1,N162,1-N162)</f>
        <v>0.787302018208026</v>
      </c>
      <c r="P162" s="6" t="n">
        <f aca="false">LN(O162)</f>
        <v>-0.239143345340123</v>
      </c>
      <c r="AD162" s="8" t="n">
        <f aca="false">B162</f>
        <v>69</v>
      </c>
      <c r="AE162" s="8" t="n">
        <f aca="false">C162</f>
        <v>27400</v>
      </c>
      <c r="AF162" s="8" t="n">
        <f aca="false">D162</f>
        <v>10</v>
      </c>
      <c r="AG162" s="9" t="n">
        <f aca="false">E162*0.85</f>
        <v>38.012</v>
      </c>
      <c r="AH162" s="9" t="n">
        <f aca="false">F162*0.9</f>
        <v>3.6</v>
      </c>
      <c r="AI162" s="9" t="n">
        <f aca="false">G162</f>
        <v>0.09</v>
      </c>
      <c r="AJ162" s="9" t="n">
        <f aca="false">H162*1.2</f>
        <v>153.6</v>
      </c>
      <c r="AK162" s="8" t="n">
        <f aca="false">I162</f>
        <v>0</v>
      </c>
      <c r="AL162" s="8" t="n">
        <f aca="false">J162</f>
        <v>0</v>
      </c>
      <c r="AM162" s="9" t="n">
        <f aca="false">K162</f>
        <v>0.55</v>
      </c>
      <c r="AN162" s="6" t="n">
        <f aca="false">$R$2 + SUMPRODUCT(AD162:AM162,$S$2:$AB$2)</f>
        <v>-1.592677264</v>
      </c>
      <c r="AO162" s="6" t="n">
        <f aca="false">1/(1+EXP(-AN162))</f>
        <v>0.169007557990356</v>
      </c>
    </row>
    <row r="163" customFormat="false" ht="15" hidden="false" customHeight="false" outlineLevel="0" collapsed="false">
      <c r="A163" s="3" t="s">
        <v>227</v>
      </c>
      <c r="B163" s="4" t="n">
        <v>49</v>
      </c>
      <c r="C163" s="4" t="n">
        <v>78000</v>
      </c>
      <c r="D163" s="4" t="n">
        <v>5</v>
      </c>
      <c r="E163" s="5" t="n">
        <v>37.15</v>
      </c>
      <c r="F163" s="4" t="n">
        <v>6</v>
      </c>
      <c r="G163" s="5" t="n">
        <v>0.07</v>
      </c>
      <c r="H163" s="4" t="n">
        <v>210</v>
      </c>
      <c r="I163" s="4" t="n">
        <v>1</v>
      </c>
      <c r="J163" s="4" t="n">
        <v>1</v>
      </c>
      <c r="K163" s="5" t="n">
        <v>0.51</v>
      </c>
      <c r="L163" s="4" t="n">
        <v>1</v>
      </c>
      <c r="M163" s="6" t="n">
        <f aca="false">$R$2 + SUMPRODUCT(B163:K163,$S$2:$AB$2)</f>
        <v>0.0749387500000003</v>
      </c>
      <c r="N163" s="6" t="n">
        <f aca="false">1/(1+EXP(-M163))</f>
        <v>0.518725924874019</v>
      </c>
      <c r="O163" s="6" t="n">
        <f aca="false">IF(L163=1,N163,1-N163)</f>
        <v>0.518725924874019</v>
      </c>
      <c r="P163" s="6" t="n">
        <f aca="false">LN(O163)</f>
        <v>-0.656379618395609</v>
      </c>
      <c r="AD163" s="8" t="n">
        <f aca="false">B163</f>
        <v>49</v>
      </c>
      <c r="AE163" s="8" t="n">
        <f aca="false">C163</f>
        <v>78000</v>
      </c>
      <c r="AF163" s="8" t="n">
        <f aca="false">D163</f>
        <v>5</v>
      </c>
      <c r="AG163" s="9" t="n">
        <f aca="false">E163*0.85</f>
        <v>31.5775</v>
      </c>
      <c r="AH163" s="9" t="n">
        <f aca="false">F163*0.9</f>
        <v>5.4</v>
      </c>
      <c r="AI163" s="9" t="n">
        <f aca="false">G163</f>
        <v>0.07</v>
      </c>
      <c r="AJ163" s="9" t="n">
        <f aca="false">H163*1.2</f>
        <v>252</v>
      </c>
      <c r="AK163" s="8" t="n">
        <f aca="false">I163</f>
        <v>1</v>
      </c>
      <c r="AL163" s="8" t="n">
        <f aca="false">J163</f>
        <v>1</v>
      </c>
      <c r="AM163" s="9" t="n">
        <f aca="false">K163</f>
        <v>0.51</v>
      </c>
      <c r="AN163" s="6" t="n">
        <f aca="false">$R$2 + SUMPRODUCT(AD163:AM163,$S$2:$AB$2)</f>
        <v>-0.3113904425</v>
      </c>
      <c r="AO163" s="6" t="n">
        <f aca="false">1/(1+EXP(-AN163))</f>
        <v>0.422775383959273</v>
      </c>
    </row>
    <row r="164" customFormat="false" ht="15" hidden="false" customHeight="false" outlineLevel="0" collapsed="false">
      <c r="A164" s="3" t="s">
        <v>228</v>
      </c>
      <c r="B164" s="4" t="n">
        <v>21</v>
      </c>
      <c r="C164" s="4" t="n">
        <v>61000</v>
      </c>
      <c r="D164" s="4" t="n">
        <v>10</v>
      </c>
      <c r="E164" s="5" t="n">
        <v>71.47</v>
      </c>
      <c r="F164" s="4" t="n">
        <v>1</v>
      </c>
      <c r="G164" s="5" t="n">
        <v>0.31</v>
      </c>
      <c r="H164" s="4" t="n">
        <v>151</v>
      </c>
      <c r="I164" s="4" t="n">
        <v>1</v>
      </c>
      <c r="J164" s="4" t="n">
        <v>0</v>
      </c>
      <c r="K164" s="5" t="n">
        <v>0.74</v>
      </c>
      <c r="L164" s="4" t="n">
        <v>0</v>
      </c>
      <c r="M164" s="6" t="n">
        <f aca="false">$R$2 + SUMPRODUCT(B164:K164,$S$2:$AB$2)</f>
        <v>1.20124394</v>
      </c>
      <c r="N164" s="6" t="n">
        <f aca="false">1/(1+EXP(-M164))</f>
        <v>0.768745999588463</v>
      </c>
      <c r="O164" s="6" t="n">
        <f aca="false">IF(L164=1,N164,1-N164)</f>
        <v>0.231254000411537</v>
      </c>
      <c r="P164" s="6" t="n">
        <f aca="false">LN(O164)</f>
        <v>-1.46423860366231</v>
      </c>
      <c r="AD164" s="8" t="n">
        <f aca="false">B164</f>
        <v>21</v>
      </c>
      <c r="AE164" s="8" t="n">
        <f aca="false">C164</f>
        <v>61000</v>
      </c>
      <c r="AF164" s="8" t="n">
        <f aca="false">D164</f>
        <v>10</v>
      </c>
      <c r="AG164" s="9" t="n">
        <f aca="false">E164*0.85</f>
        <v>60.7495</v>
      </c>
      <c r="AH164" s="9" t="n">
        <f aca="false">F164*0.9</f>
        <v>0.9</v>
      </c>
      <c r="AI164" s="9" t="n">
        <f aca="false">G164</f>
        <v>0.31</v>
      </c>
      <c r="AJ164" s="9" t="n">
        <f aca="false">H164*1.2</f>
        <v>181.2</v>
      </c>
      <c r="AK164" s="8" t="n">
        <f aca="false">I164</f>
        <v>1</v>
      </c>
      <c r="AL164" s="8" t="n">
        <f aca="false">J164</f>
        <v>0</v>
      </c>
      <c r="AM164" s="9" t="n">
        <f aca="false">K164</f>
        <v>0.74</v>
      </c>
      <c r="AN164" s="6" t="n">
        <f aca="false">$R$2 + SUMPRODUCT(AD164:AM164,$S$2:$AB$2)</f>
        <v>0.8717375635</v>
      </c>
      <c r="AO164" s="6" t="n">
        <f aca="false">1/(1+EXP(-AN164))</f>
        <v>0.705107120149657</v>
      </c>
    </row>
    <row r="165" customFormat="false" ht="15" hidden="false" customHeight="false" outlineLevel="0" collapsed="false">
      <c r="A165" s="3" t="s">
        <v>229</v>
      </c>
      <c r="B165" s="4" t="n">
        <v>47</v>
      </c>
      <c r="C165" s="4" t="n">
        <v>41500</v>
      </c>
      <c r="D165" s="4" t="n">
        <v>3</v>
      </c>
      <c r="E165" s="5" t="n">
        <v>70.32</v>
      </c>
      <c r="F165" s="4" t="n">
        <v>1</v>
      </c>
      <c r="G165" s="5" t="n">
        <v>0.29</v>
      </c>
      <c r="H165" s="4" t="n">
        <v>255</v>
      </c>
      <c r="I165" s="4" t="n">
        <v>1</v>
      </c>
      <c r="J165" s="4" t="n">
        <v>1</v>
      </c>
      <c r="K165" s="5" t="n">
        <v>0.38</v>
      </c>
      <c r="L165" s="4" t="n">
        <v>0</v>
      </c>
      <c r="M165" s="6" t="n">
        <f aca="false">$R$2 + SUMPRODUCT(B165:K165,$S$2:$AB$2)</f>
        <v>-1.29819831</v>
      </c>
      <c r="N165" s="6" t="n">
        <f aca="false">1/(1+EXP(-M165))</f>
        <v>0.214468394587294</v>
      </c>
      <c r="O165" s="6" t="n">
        <f aca="false">IF(L165=1,N165,1-N165)</f>
        <v>0.785531605412706</v>
      </c>
      <c r="P165" s="6" t="n">
        <f aca="false">LN(O165)</f>
        <v>-0.241394586051726</v>
      </c>
      <c r="AD165" s="8" t="n">
        <f aca="false">B165</f>
        <v>47</v>
      </c>
      <c r="AE165" s="8" t="n">
        <f aca="false">C165</f>
        <v>41500</v>
      </c>
      <c r="AF165" s="8" t="n">
        <f aca="false">D165</f>
        <v>3</v>
      </c>
      <c r="AG165" s="9" t="n">
        <f aca="false">E165*0.85</f>
        <v>59.772</v>
      </c>
      <c r="AH165" s="9" t="n">
        <f aca="false">F165*0.9</f>
        <v>0.9</v>
      </c>
      <c r="AI165" s="9" t="n">
        <f aca="false">G165</f>
        <v>0.29</v>
      </c>
      <c r="AJ165" s="9" t="n">
        <f aca="false">H165*1.2</f>
        <v>306</v>
      </c>
      <c r="AK165" s="8" t="n">
        <f aca="false">I165</f>
        <v>1</v>
      </c>
      <c r="AL165" s="8" t="n">
        <f aca="false">J165</f>
        <v>1</v>
      </c>
      <c r="AM165" s="9" t="n">
        <f aca="false">K165</f>
        <v>0.38</v>
      </c>
      <c r="AN165" s="6" t="n">
        <f aca="false">$R$2 + SUMPRODUCT(AD165:AM165,$S$2:$AB$2)</f>
        <v>-1.745153894</v>
      </c>
      <c r="AO165" s="6" t="n">
        <f aca="false">1/(1+EXP(-AN165))</f>
        <v>0.148659476731283</v>
      </c>
    </row>
    <row r="166" customFormat="false" ht="15" hidden="false" customHeight="false" outlineLevel="0" collapsed="false">
      <c r="A166" s="3" t="s">
        <v>230</v>
      </c>
      <c r="B166" s="4" t="n">
        <v>54</v>
      </c>
      <c r="C166" s="4" t="n">
        <v>82900</v>
      </c>
      <c r="D166" s="4" t="n">
        <v>6</v>
      </c>
      <c r="E166" s="5" t="n">
        <v>84.57</v>
      </c>
      <c r="F166" s="4" t="n">
        <v>2</v>
      </c>
      <c r="G166" s="5" t="n">
        <v>0.29</v>
      </c>
      <c r="H166" s="4" t="n">
        <v>218</v>
      </c>
      <c r="I166" s="4" t="n">
        <v>0</v>
      </c>
      <c r="J166" s="4" t="n">
        <v>0</v>
      </c>
      <c r="K166" s="5" t="n">
        <v>0.45</v>
      </c>
      <c r="L166" s="4" t="n">
        <v>1</v>
      </c>
      <c r="M166" s="6" t="n">
        <f aca="false">$R$2 + SUMPRODUCT(B166:K166,$S$2:$AB$2)</f>
        <v>-0.61401975</v>
      </c>
      <c r="N166" s="6" t="n">
        <f aca="false">1/(1+EXP(-M166))</f>
        <v>0.351142784812173</v>
      </c>
      <c r="O166" s="6" t="n">
        <f aca="false">IF(L166=1,N166,1-N166)</f>
        <v>0.351142784812173</v>
      </c>
      <c r="P166" s="6" t="n">
        <f aca="false">LN(O166)</f>
        <v>-1.04656234389798</v>
      </c>
      <c r="AD166" s="8" t="n">
        <f aca="false">B166</f>
        <v>54</v>
      </c>
      <c r="AE166" s="8" t="n">
        <f aca="false">C166</f>
        <v>82900</v>
      </c>
      <c r="AF166" s="8" t="n">
        <f aca="false">D166</f>
        <v>6</v>
      </c>
      <c r="AG166" s="9" t="n">
        <f aca="false">E166*0.85</f>
        <v>71.8845</v>
      </c>
      <c r="AH166" s="9" t="n">
        <f aca="false">F166*0.9</f>
        <v>1.8</v>
      </c>
      <c r="AI166" s="9" t="n">
        <f aca="false">G166</f>
        <v>0.29</v>
      </c>
      <c r="AJ166" s="9" t="n">
        <f aca="false">H166*1.2</f>
        <v>261.6</v>
      </c>
      <c r="AK166" s="8" t="n">
        <f aca="false">I166</f>
        <v>0</v>
      </c>
      <c r="AL166" s="8" t="n">
        <f aca="false">J166</f>
        <v>0</v>
      </c>
      <c r="AM166" s="9" t="n">
        <f aca="false">K166</f>
        <v>0.45</v>
      </c>
      <c r="AN166" s="6" t="n">
        <f aca="false">$R$2 + SUMPRODUCT(AD166:AM166,$S$2:$AB$2)</f>
        <v>-1.0586854715</v>
      </c>
      <c r="AO166" s="6" t="n">
        <f aca="false">1/(1+EXP(-AN166))</f>
        <v>0.257560742932229</v>
      </c>
    </row>
    <row r="167" customFormat="false" ht="15" hidden="false" customHeight="false" outlineLevel="0" collapsed="false">
      <c r="A167" s="3" t="s">
        <v>231</v>
      </c>
      <c r="B167" s="4" t="n">
        <v>40</v>
      </c>
      <c r="C167" s="4" t="n">
        <v>57100</v>
      </c>
      <c r="D167" s="4" t="n">
        <v>10</v>
      </c>
      <c r="E167" s="5" t="n">
        <v>54.22</v>
      </c>
      <c r="F167" s="4" t="n">
        <v>6</v>
      </c>
      <c r="G167" s="5" t="n">
        <v>0.26</v>
      </c>
      <c r="H167" s="4" t="n">
        <v>30</v>
      </c>
      <c r="I167" s="4" t="n">
        <v>0</v>
      </c>
      <c r="J167" s="4" t="n">
        <v>1</v>
      </c>
      <c r="K167" s="5" t="n">
        <v>0.34</v>
      </c>
      <c r="L167" s="4" t="n">
        <v>0</v>
      </c>
      <c r="M167" s="6" t="n">
        <f aca="false">$R$2 + SUMPRODUCT(B167:K167,$S$2:$AB$2)</f>
        <v>1.30371494</v>
      </c>
      <c r="N167" s="6" t="n">
        <f aca="false">1/(1+EXP(-M167))</f>
        <v>0.786459537453722</v>
      </c>
      <c r="O167" s="6" t="n">
        <f aca="false">IF(L167=1,N167,1-N167)</f>
        <v>0.213540462546278</v>
      </c>
      <c r="P167" s="6" t="n">
        <f aca="false">LN(O167)</f>
        <v>-1.54392894414705</v>
      </c>
      <c r="AD167" s="8" t="n">
        <f aca="false">B167</f>
        <v>40</v>
      </c>
      <c r="AE167" s="8" t="n">
        <f aca="false">C167</f>
        <v>57100</v>
      </c>
      <c r="AF167" s="8" t="n">
        <f aca="false">D167</f>
        <v>10</v>
      </c>
      <c r="AG167" s="9" t="n">
        <f aca="false">E167*0.85</f>
        <v>46.087</v>
      </c>
      <c r="AH167" s="9" t="n">
        <f aca="false">F167*0.9</f>
        <v>5.4</v>
      </c>
      <c r="AI167" s="9" t="n">
        <f aca="false">G167</f>
        <v>0.26</v>
      </c>
      <c r="AJ167" s="9" t="n">
        <f aca="false">H167*1.2</f>
        <v>36</v>
      </c>
      <c r="AK167" s="8" t="n">
        <f aca="false">I167</f>
        <v>0</v>
      </c>
      <c r="AL167" s="8" t="n">
        <f aca="false">J167</f>
        <v>1</v>
      </c>
      <c r="AM167" s="9" t="n">
        <f aca="false">K167</f>
        <v>0.34</v>
      </c>
      <c r="AN167" s="6" t="n">
        <f aca="false">$R$2 + SUMPRODUCT(AD167:AM167,$S$2:$AB$2)</f>
        <v>1.090278551</v>
      </c>
      <c r="AO167" s="6" t="n">
        <f aca="false">1/(1+EXP(-AN167))</f>
        <v>0.74843417094747</v>
      </c>
    </row>
    <row r="168" customFormat="false" ht="15" hidden="false" customHeight="false" outlineLevel="0" collapsed="false">
      <c r="A168" s="3" t="s">
        <v>232</v>
      </c>
      <c r="B168" s="4" t="n">
        <v>56</v>
      </c>
      <c r="C168" s="4" t="n">
        <v>76200</v>
      </c>
      <c r="D168" s="4" t="n">
        <v>5</v>
      </c>
      <c r="E168" s="5" t="n">
        <v>75.2</v>
      </c>
      <c r="F168" s="4" t="n">
        <v>4</v>
      </c>
      <c r="G168" s="5" t="n">
        <v>0.92</v>
      </c>
      <c r="H168" s="4" t="n">
        <v>45</v>
      </c>
      <c r="I168" s="4" t="n">
        <v>1</v>
      </c>
      <c r="J168" s="4" t="n">
        <v>1</v>
      </c>
      <c r="K168" s="5" t="n">
        <v>0.29</v>
      </c>
      <c r="L168" s="4" t="n">
        <v>1</v>
      </c>
      <c r="M168" s="6" t="n">
        <f aca="false">$R$2 + SUMPRODUCT(B168:K168,$S$2:$AB$2)</f>
        <v>2.33492249</v>
      </c>
      <c r="N168" s="6" t="n">
        <f aca="false">1/(1+EXP(-M168))</f>
        <v>0.911728301522391</v>
      </c>
      <c r="O168" s="6" t="n">
        <f aca="false">IF(L168=1,N168,1-N168)</f>
        <v>0.911728301522391</v>
      </c>
      <c r="P168" s="6" t="n">
        <f aca="false">LN(O168)</f>
        <v>-0.0924132482906726</v>
      </c>
      <c r="AD168" s="8" t="n">
        <f aca="false">B168</f>
        <v>56</v>
      </c>
      <c r="AE168" s="8" t="n">
        <f aca="false">C168</f>
        <v>76200</v>
      </c>
      <c r="AF168" s="8" t="n">
        <f aca="false">D168</f>
        <v>5</v>
      </c>
      <c r="AG168" s="9" t="n">
        <f aca="false">E168*0.85</f>
        <v>63.92</v>
      </c>
      <c r="AH168" s="9" t="n">
        <f aca="false">F168*0.9</f>
        <v>3.6</v>
      </c>
      <c r="AI168" s="9" t="n">
        <f aca="false">G168</f>
        <v>0.92</v>
      </c>
      <c r="AJ168" s="9" t="n">
        <f aca="false">H168*1.2</f>
        <v>54</v>
      </c>
      <c r="AK168" s="8" t="n">
        <f aca="false">I168</f>
        <v>1</v>
      </c>
      <c r="AL168" s="8" t="n">
        <f aca="false">J168</f>
        <v>1</v>
      </c>
      <c r="AM168" s="9" t="n">
        <f aca="false">K168</f>
        <v>0.29</v>
      </c>
      <c r="AN168" s="6" t="n">
        <f aca="false">$R$2 + SUMPRODUCT(AD168:AM168,$S$2:$AB$2)</f>
        <v>2.08515105</v>
      </c>
      <c r="AO168" s="6" t="n">
        <f aca="false">1/(1+EXP(-AN168))</f>
        <v>0.889451540125991</v>
      </c>
    </row>
    <row r="169" customFormat="false" ht="15" hidden="false" customHeight="false" outlineLevel="0" collapsed="false">
      <c r="A169" s="3" t="s">
        <v>233</v>
      </c>
      <c r="B169" s="4" t="n">
        <v>62</v>
      </c>
      <c r="C169" s="4" t="n">
        <v>56200</v>
      </c>
      <c r="D169" s="4" t="n">
        <v>6</v>
      </c>
      <c r="E169" s="5" t="n">
        <v>78.77</v>
      </c>
      <c r="F169" s="4" t="n">
        <v>5</v>
      </c>
      <c r="G169" s="5" t="n">
        <v>0.81</v>
      </c>
      <c r="H169" s="4" t="n">
        <v>80</v>
      </c>
      <c r="I169" s="4" t="n">
        <v>1</v>
      </c>
      <c r="J169" s="4" t="n">
        <v>0</v>
      </c>
      <c r="K169" s="5" t="n">
        <v>0.52</v>
      </c>
      <c r="L169" s="4" t="n">
        <v>1</v>
      </c>
      <c r="M169" s="6" t="n">
        <f aca="false">$R$2 + SUMPRODUCT(B169:K169,$S$2:$AB$2)</f>
        <v>1.40818408</v>
      </c>
      <c r="N169" s="6" t="n">
        <f aca="false">1/(1+EXP(-M169))</f>
        <v>0.803479367378708</v>
      </c>
      <c r="O169" s="6" t="n">
        <f aca="false">IF(L169=1,N169,1-N169)</f>
        <v>0.803479367378708</v>
      </c>
      <c r="P169" s="6" t="n">
        <f aca="false">LN(O169)</f>
        <v>-0.218803772567735</v>
      </c>
      <c r="AD169" s="8" t="n">
        <f aca="false">B169</f>
        <v>62</v>
      </c>
      <c r="AE169" s="8" t="n">
        <f aca="false">C169</f>
        <v>56200</v>
      </c>
      <c r="AF169" s="8" t="n">
        <f aca="false">D169</f>
        <v>6</v>
      </c>
      <c r="AG169" s="9" t="n">
        <f aca="false">E169*0.85</f>
        <v>66.9545</v>
      </c>
      <c r="AH169" s="9" t="n">
        <f aca="false">F169*0.9</f>
        <v>4.5</v>
      </c>
      <c r="AI169" s="9" t="n">
        <f aca="false">G169</f>
        <v>0.81</v>
      </c>
      <c r="AJ169" s="9" t="n">
        <f aca="false">H169*1.2</f>
        <v>96</v>
      </c>
      <c r="AK169" s="8" t="n">
        <f aca="false">I169</f>
        <v>1</v>
      </c>
      <c r="AL169" s="8" t="n">
        <f aca="false">J169</f>
        <v>0</v>
      </c>
      <c r="AM169" s="9" t="n">
        <f aca="false">K169</f>
        <v>0.52</v>
      </c>
      <c r="AN169" s="6" t="n">
        <f aca="false">$R$2 + SUMPRODUCT(AD169:AM169,$S$2:$AB$2)</f>
        <v>1.0993069685</v>
      </c>
      <c r="AO169" s="6" t="n">
        <f aca="false">1/(1+EXP(-AN169))</f>
        <v>0.750130229846231</v>
      </c>
    </row>
    <row r="170" customFormat="false" ht="15" hidden="false" customHeight="false" outlineLevel="0" collapsed="false">
      <c r="A170" s="3" t="s">
        <v>234</v>
      </c>
      <c r="B170" s="4" t="n">
        <v>32</v>
      </c>
      <c r="C170" s="4" t="n">
        <v>92100</v>
      </c>
      <c r="D170" s="4" t="n">
        <v>8</v>
      </c>
      <c r="E170" s="5" t="n">
        <v>76.12</v>
      </c>
      <c r="F170" s="4" t="n">
        <v>8</v>
      </c>
      <c r="G170" s="5" t="n">
        <v>0.55</v>
      </c>
      <c r="H170" s="4" t="n">
        <v>39</v>
      </c>
      <c r="I170" s="4" t="n">
        <v>0</v>
      </c>
      <c r="J170" s="4" t="n">
        <v>1</v>
      </c>
      <c r="K170" s="5" t="n">
        <v>0.21</v>
      </c>
      <c r="L170" s="4" t="n">
        <v>1</v>
      </c>
      <c r="M170" s="6" t="n">
        <f aca="false">$R$2 + SUMPRODUCT(B170:K170,$S$2:$AB$2)</f>
        <v>2.62820594</v>
      </c>
      <c r="N170" s="6" t="n">
        <f aca="false">1/(1+EXP(-M170))</f>
        <v>0.932654952484901</v>
      </c>
      <c r="O170" s="6" t="n">
        <f aca="false">IF(L170=1,N170,1-N170)</f>
        <v>0.932654952484901</v>
      </c>
      <c r="P170" s="6" t="n">
        <f aca="false">LN(O170)</f>
        <v>-0.0697199723840737</v>
      </c>
      <c r="AD170" s="8" t="n">
        <f aca="false">B170</f>
        <v>32</v>
      </c>
      <c r="AE170" s="8" t="n">
        <f aca="false">C170</f>
        <v>92100</v>
      </c>
      <c r="AF170" s="8" t="n">
        <f aca="false">D170</f>
        <v>8</v>
      </c>
      <c r="AG170" s="9" t="n">
        <f aca="false">E170*0.85</f>
        <v>64.702</v>
      </c>
      <c r="AH170" s="9" t="n">
        <f aca="false">F170*0.9</f>
        <v>7.2</v>
      </c>
      <c r="AI170" s="9" t="n">
        <f aca="false">G170</f>
        <v>0.55</v>
      </c>
      <c r="AJ170" s="9" t="n">
        <f aca="false">H170*1.2</f>
        <v>46.8</v>
      </c>
      <c r="AK170" s="8" t="n">
        <f aca="false">I170</f>
        <v>0</v>
      </c>
      <c r="AL170" s="8" t="n">
        <f aca="false">J170</f>
        <v>1</v>
      </c>
      <c r="AM170" s="9" t="n">
        <f aca="false">K170</f>
        <v>0.21</v>
      </c>
      <c r="AN170" s="6" t="n">
        <f aca="false">$R$2 + SUMPRODUCT(AD170:AM170,$S$2:$AB$2)</f>
        <v>2.337065146</v>
      </c>
      <c r="AO170" s="6" t="n">
        <f aca="false">1/(1+EXP(-AN170))</f>
        <v>0.911900590003554</v>
      </c>
    </row>
    <row r="171" customFormat="false" ht="15" hidden="false" customHeight="false" outlineLevel="0" collapsed="false">
      <c r="A171" s="3" t="s">
        <v>235</v>
      </c>
      <c r="B171" s="4" t="n">
        <v>60</v>
      </c>
      <c r="C171" s="4" t="n">
        <v>86600</v>
      </c>
      <c r="D171" s="4" t="n">
        <v>7</v>
      </c>
      <c r="E171" s="5" t="n">
        <v>44.36</v>
      </c>
      <c r="F171" s="4" t="n">
        <v>5</v>
      </c>
      <c r="G171" s="5" t="n">
        <v>0.63</v>
      </c>
      <c r="H171" s="4" t="n">
        <v>240</v>
      </c>
      <c r="I171" s="4" t="n">
        <v>1</v>
      </c>
      <c r="J171" s="4" t="n">
        <v>0</v>
      </c>
      <c r="K171" s="5" t="n">
        <v>0.18</v>
      </c>
      <c r="L171" s="4" t="n">
        <v>0</v>
      </c>
      <c r="M171" s="6" t="n">
        <f aca="false">$R$2 + SUMPRODUCT(B171:K171,$S$2:$AB$2)</f>
        <v>0.251205550000001</v>
      </c>
      <c r="N171" s="6" t="n">
        <f aca="false">1/(1+EXP(-M171))</f>
        <v>0.562473205553252</v>
      </c>
      <c r="O171" s="6" t="n">
        <f aca="false">IF(L171=1,N171,1-N171)</f>
        <v>0.437526794446748</v>
      </c>
      <c r="P171" s="6" t="n">
        <f aca="false">LN(O171)</f>
        <v>-0.826617330610122</v>
      </c>
      <c r="AD171" s="8" t="n">
        <f aca="false">B171</f>
        <v>60</v>
      </c>
      <c r="AE171" s="8" t="n">
        <f aca="false">C171</f>
        <v>86600</v>
      </c>
      <c r="AF171" s="8" t="n">
        <f aca="false">D171</f>
        <v>7</v>
      </c>
      <c r="AG171" s="9" t="n">
        <f aca="false">E171*0.85</f>
        <v>37.706</v>
      </c>
      <c r="AH171" s="9" t="n">
        <f aca="false">F171*0.9</f>
        <v>4.5</v>
      </c>
      <c r="AI171" s="9" t="n">
        <f aca="false">G171</f>
        <v>0.63</v>
      </c>
      <c r="AJ171" s="9" t="n">
        <f aca="false">H171*1.2</f>
        <v>288</v>
      </c>
      <c r="AK171" s="8" t="n">
        <f aca="false">I171</f>
        <v>1</v>
      </c>
      <c r="AL171" s="8" t="n">
        <f aca="false">J171</f>
        <v>0</v>
      </c>
      <c r="AM171" s="9" t="n">
        <f aca="false">K171</f>
        <v>0.18</v>
      </c>
      <c r="AN171" s="6" t="n">
        <f aca="false">$R$2 + SUMPRODUCT(AD171:AM171,$S$2:$AB$2)</f>
        <v>-0.172593132</v>
      </c>
      <c r="AO171" s="6" t="n">
        <f aca="false">1/(1+EXP(-AN171))</f>
        <v>0.456958508716614</v>
      </c>
    </row>
    <row r="172" customFormat="false" ht="15" hidden="false" customHeight="false" outlineLevel="0" collapsed="false">
      <c r="A172" s="3" t="s">
        <v>236</v>
      </c>
      <c r="B172" s="4" t="n">
        <v>46</v>
      </c>
      <c r="C172" s="4" t="n">
        <v>50500</v>
      </c>
      <c r="D172" s="4" t="n">
        <v>2</v>
      </c>
      <c r="E172" s="5" t="n">
        <v>68.73</v>
      </c>
      <c r="F172" s="4" t="n">
        <v>6</v>
      </c>
      <c r="G172" s="5" t="n">
        <v>0.52</v>
      </c>
      <c r="H172" s="4" t="n">
        <v>45</v>
      </c>
      <c r="I172" s="4" t="n">
        <v>1</v>
      </c>
      <c r="J172" s="4" t="n">
        <v>1</v>
      </c>
      <c r="K172" s="5" t="n">
        <v>0.09</v>
      </c>
      <c r="L172" s="4" t="n">
        <v>1</v>
      </c>
      <c r="M172" s="6" t="n">
        <f aca="false">$R$2 + SUMPRODUCT(B172:K172,$S$2:$AB$2)</f>
        <v>0.54880498</v>
      </c>
      <c r="N172" s="6" t="n">
        <f aca="false">1/(1+EXP(-M172))</f>
        <v>0.633858292820561</v>
      </c>
      <c r="O172" s="6" t="n">
        <f aca="false">IF(L172=1,N172,1-N172)</f>
        <v>0.633858292820561</v>
      </c>
      <c r="P172" s="6" t="n">
        <f aca="false">LN(O172)</f>
        <v>-0.455929862428966</v>
      </c>
      <c r="AD172" s="8" t="n">
        <f aca="false">B172</f>
        <v>46</v>
      </c>
      <c r="AE172" s="8" t="n">
        <f aca="false">C172</f>
        <v>50500</v>
      </c>
      <c r="AF172" s="8" t="n">
        <f aca="false">D172</f>
        <v>2</v>
      </c>
      <c r="AG172" s="9" t="n">
        <f aca="false">E172*0.85</f>
        <v>58.4205</v>
      </c>
      <c r="AH172" s="9" t="n">
        <f aca="false">F172*0.9</f>
        <v>5.4</v>
      </c>
      <c r="AI172" s="9" t="n">
        <f aca="false">G172</f>
        <v>0.52</v>
      </c>
      <c r="AJ172" s="9" t="n">
        <f aca="false">H172*1.2</f>
        <v>54</v>
      </c>
      <c r="AK172" s="8" t="n">
        <f aca="false">I172</f>
        <v>1</v>
      </c>
      <c r="AL172" s="8" t="n">
        <f aca="false">J172</f>
        <v>1</v>
      </c>
      <c r="AM172" s="9" t="n">
        <f aca="false">K172</f>
        <v>0.09</v>
      </c>
      <c r="AN172" s="6" t="n">
        <f aca="false">$R$2 + SUMPRODUCT(AD172:AM172,$S$2:$AB$2)</f>
        <v>0.2888576665</v>
      </c>
      <c r="AO172" s="6" t="n">
        <f aca="false">1/(1+EXP(-AN172))</f>
        <v>0.571716447805386</v>
      </c>
    </row>
    <row r="173" customFormat="false" ht="15" hidden="false" customHeight="false" outlineLevel="0" collapsed="false">
      <c r="A173" s="3" t="s">
        <v>237</v>
      </c>
      <c r="B173" s="4" t="n">
        <v>53</v>
      </c>
      <c r="C173" s="4" t="n">
        <v>72500</v>
      </c>
      <c r="D173" s="4" t="n">
        <v>11</v>
      </c>
      <c r="E173" s="5" t="n">
        <v>74.1</v>
      </c>
      <c r="F173" s="4" t="n">
        <v>3</v>
      </c>
      <c r="G173" s="5" t="n">
        <v>0.22</v>
      </c>
      <c r="H173" s="4" t="n">
        <v>78</v>
      </c>
      <c r="I173" s="4" t="n">
        <v>1</v>
      </c>
      <c r="J173" s="4" t="n">
        <v>1</v>
      </c>
      <c r="K173" s="5" t="n">
        <v>0.68</v>
      </c>
      <c r="L173" s="4" t="n">
        <v>1</v>
      </c>
      <c r="M173" s="6" t="n">
        <f aca="false">$R$2 + SUMPRODUCT(B173:K173,$S$2:$AB$2)</f>
        <v>2.38604336</v>
      </c>
      <c r="N173" s="6" t="n">
        <f aca="false">1/(1+EXP(-M173))</f>
        <v>0.915756829822443</v>
      </c>
      <c r="O173" s="6" t="n">
        <f aca="false">IF(L173=1,N173,1-N173)</f>
        <v>0.915756829822443</v>
      </c>
      <c r="P173" s="6" t="n">
        <f aca="false">LN(O173)</f>
        <v>-0.0880044191774594</v>
      </c>
      <c r="AD173" s="8" t="n">
        <f aca="false">B173</f>
        <v>53</v>
      </c>
      <c r="AE173" s="8" t="n">
        <f aca="false">C173</f>
        <v>72500</v>
      </c>
      <c r="AF173" s="8" t="n">
        <f aca="false">D173</f>
        <v>11</v>
      </c>
      <c r="AG173" s="9" t="n">
        <f aca="false">E173*0.85</f>
        <v>62.985</v>
      </c>
      <c r="AH173" s="9" t="n">
        <f aca="false">F173*0.9</f>
        <v>2.7</v>
      </c>
      <c r="AI173" s="9" t="n">
        <f aca="false">G173</f>
        <v>0.22</v>
      </c>
      <c r="AJ173" s="9" t="n">
        <f aca="false">H173*1.2</f>
        <v>93.6</v>
      </c>
      <c r="AK173" s="8" t="n">
        <f aca="false">I173</f>
        <v>1</v>
      </c>
      <c r="AL173" s="8" t="n">
        <f aca="false">J173</f>
        <v>1</v>
      </c>
      <c r="AM173" s="9" t="n">
        <f aca="false">K173</f>
        <v>0.68</v>
      </c>
      <c r="AN173" s="6" t="n">
        <f aca="false">$R$2 + SUMPRODUCT(AD173:AM173,$S$2:$AB$2)</f>
        <v>2.112091865</v>
      </c>
      <c r="AO173" s="6" t="n">
        <f aca="false">1/(1+EXP(-AN173))</f>
        <v>0.892072900819446</v>
      </c>
    </row>
    <row r="174" customFormat="false" ht="15" hidden="false" customHeight="false" outlineLevel="0" collapsed="false">
      <c r="A174" s="3" t="s">
        <v>238</v>
      </c>
      <c r="B174" s="4" t="n">
        <v>30</v>
      </c>
      <c r="C174" s="4" t="n">
        <v>66600</v>
      </c>
      <c r="D174" s="4" t="n">
        <v>7</v>
      </c>
      <c r="E174" s="5" t="n">
        <v>65.18</v>
      </c>
      <c r="F174" s="4" t="n">
        <v>3</v>
      </c>
      <c r="G174" s="5" t="n">
        <v>0.19</v>
      </c>
      <c r="H174" s="4" t="n">
        <v>337</v>
      </c>
      <c r="I174" s="4" t="n">
        <v>0</v>
      </c>
      <c r="J174" s="4" t="n">
        <v>0</v>
      </c>
      <c r="K174" s="5" t="n">
        <v>0.09</v>
      </c>
      <c r="L174" s="4" t="n">
        <v>0</v>
      </c>
      <c r="M174" s="6" t="n">
        <f aca="false">$R$2 + SUMPRODUCT(B174:K174,$S$2:$AB$2)</f>
        <v>-1.9281866</v>
      </c>
      <c r="N174" s="6" t="n">
        <f aca="false">1/(1+EXP(-M174))</f>
        <v>0.126951431958041</v>
      </c>
      <c r="O174" s="6" t="n">
        <f aca="false">IF(L174=1,N174,1-N174)</f>
        <v>0.873048568041959</v>
      </c>
      <c r="P174" s="6" t="n">
        <f aca="false">LN(O174)</f>
        <v>-0.135764091194076</v>
      </c>
      <c r="AD174" s="8" t="n">
        <f aca="false">B174</f>
        <v>30</v>
      </c>
      <c r="AE174" s="8" t="n">
        <f aca="false">C174</f>
        <v>66600</v>
      </c>
      <c r="AF174" s="8" t="n">
        <f aca="false">D174</f>
        <v>7</v>
      </c>
      <c r="AG174" s="9" t="n">
        <f aca="false">E174*0.85</f>
        <v>55.403</v>
      </c>
      <c r="AH174" s="9" t="n">
        <f aca="false">F174*0.9</f>
        <v>2.7</v>
      </c>
      <c r="AI174" s="9" t="n">
        <f aca="false">G174</f>
        <v>0.19</v>
      </c>
      <c r="AJ174" s="9" t="n">
        <f aca="false">H174*1.2</f>
        <v>404.4</v>
      </c>
      <c r="AK174" s="8" t="n">
        <f aca="false">I174</f>
        <v>0</v>
      </c>
      <c r="AL174" s="8" t="n">
        <f aca="false">J174</f>
        <v>0</v>
      </c>
      <c r="AM174" s="9" t="n">
        <f aca="false">K174</f>
        <v>0.09</v>
      </c>
      <c r="AN174" s="6" t="n">
        <f aca="false">$R$2 + SUMPRODUCT(AD174:AM174,$S$2:$AB$2)</f>
        <v>-2.482429141</v>
      </c>
      <c r="AO174" s="6" t="n">
        <f aca="false">1/(1+EXP(-AN174))</f>
        <v>0.0770991792030867</v>
      </c>
    </row>
    <row r="175" customFormat="false" ht="15" hidden="false" customHeight="false" outlineLevel="0" collapsed="false">
      <c r="A175" s="3" t="s">
        <v>239</v>
      </c>
      <c r="B175" s="4" t="n">
        <v>49</v>
      </c>
      <c r="C175" s="4" t="n">
        <v>79600</v>
      </c>
      <c r="D175" s="4" t="n">
        <v>5</v>
      </c>
      <c r="E175" s="5" t="n">
        <v>12.84</v>
      </c>
      <c r="F175" s="4" t="n">
        <v>4</v>
      </c>
      <c r="G175" s="5" t="n">
        <v>0.5</v>
      </c>
      <c r="H175" s="4" t="n">
        <v>349</v>
      </c>
      <c r="I175" s="4" t="n">
        <v>0</v>
      </c>
      <c r="J175" s="4" t="n">
        <v>0</v>
      </c>
      <c r="K175" s="5" t="n">
        <v>0.76</v>
      </c>
      <c r="L175" s="4" t="n">
        <v>1</v>
      </c>
      <c r="M175" s="6" t="n">
        <f aca="false">$R$2 + SUMPRODUCT(B175:K175,$S$2:$AB$2)</f>
        <v>-1.6068997</v>
      </c>
      <c r="N175" s="6" t="n">
        <f aca="false">1/(1+EXP(-M175))</f>
        <v>0.167019494499308</v>
      </c>
      <c r="O175" s="6" t="n">
        <f aca="false">IF(L175=1,N175,1-N175)</f>
        <v>0.167019494499308</v>
      </c>
      <c r="P175" s="6" t="n">
        <f aca="false">LN(O175)</f>
        <v>-1.78964473984942</v>
      </c>
      <c r="AD175" s="8" t="n">
        <f aca="false">B175</f>
        <v>49</v>
      </c>
      <c r="AE175" s="8" t="n">
        <f aca="false">C175</f>
        <v>79600</v>
      </c>
      <c r="AF175" s="8" t="n">
        <f aca="false">D175</f>
        <v>5</v>
      </c>
      <c r="AG175" s="9" t="n">
        <f aca="false">E175*0.85</f>
        <v>10.914</v>
      </c>
      <c r="AH175" s="9" t="n">
        <f aca="false">F175*0.9</f>
        <v>3.6</v>
      </c>
      <c r="AI175" s="9" t="n">
        <f aca="false">G175</f>
        <v>0.5</v>
      </c>
      <c r="AJ175" s="9" t="n">
        <f aca="false">H175*1.2</f>
        <v>418.8</v>
      </c>
      <c r="AK175" s="8" t="n">
        <f aca="false">I175</f>
        <v>0</v>
      </c>
      <c r="AL175" s="8" t="n">
        <f aca="false">J175</f>
        <v>0</v>
      </c>
      <c r="AM175" s="9" t="n">
        <f aca="false">K175</f>
        <v>0.76</v>
      </c>
      <c r="AN175" s="6" t="n">
        <f aca="false">$R$2 + SUMPRODUCT(AD175:AM175,$S$2:$AB$2)</f>
        <v>-2.081105258</v>
      </c>
      <c r="AO175" s="6" t="n">
        <f aca="false">1/(1+EXP(-AN175))</f>
        <v>0.11094689973263</v>
      </c>
    </row>
    <row r="176" customFormat="false" ht="15" hidden="false" customHeight="false" outlineLevel="0" collapsed="false">
      <c r="A176" s="3" t="s">
        <v>240</v>
      </c>
      <c r="B176" s="4" t="n">
        <v>24</v>
      </c>
      <c r="C176" s="4" t="n">
        <v>37600</v>
      </c>
      <c r="D176" s="4" t="n">
        <v>6</v>
      </c>
      <c r="E176" s="5" t="n">
        <v>69.01</v>
      </c>
      <c r="F176" s="4" t="n">
        <v>4</v>
      </c>
      <c r="G176" s="5" t="n">
        <v>0.14</v>
      </c>
      <c r="H176" s="4" t="n">
        <v>288</v>
      </c>
      <c r="I176" s="4" t="n">
        <v>0</v>
      </c>
      <c r="J176" s="4" t="n">
        <v>0</v>
      </c>
      <c r="K176" s="5" t="n">
        <v>0.62</v>
      </c>
      <c r="L176" s="4" t="n">
        <v>1</v>
      </c>
      <c r="M176" s="6" t="n">
        <f aca="false">$R$2 + SUMPRODUCT(B176:K176,$S$2:$AB$2)</f>
        <v>-1.74392427</v>
      </c>
      <c r="N176" s="6" t="n">
        <f aca="false">1/(1+EXP(-M176))</f>
        <v>0.148815164984252</v>
      </c>
      <c r="O176" s="6" t="n">
        <f aca="false">IF(L176=1,N176,1-N176)</f>
        <v>0.148815164984252</v>
      </c>
      <c r="P176" s="6" t="n">
        <f aca="false">LN(O176)</f>
        <v>-1.9050502465594</v>
      </c>
      <c r="AD176" s="8" t="n">
        <f aca="false">B176</f>
        <v>24</v>
      </c>
      <c r="AE176" s="8" t="n">
        <f aca="false">C176</f>
        <v>37600</v>
      </c>
      <c r="AF176" s="8" t="n">
        <f aca="false">D176</f>
        <v>6</v>
      </c>
      <c r="AG176" s="9" t="n">
        <f aca="false">E176*0.85</f>
        <v>58.6585</v>
      </c>
      <c r="AH176" s="9" t="n">
        <f aca="false">F176*0.9</f>
        <v>3.6</v>
      </c>
      <c r="AI176" s="9" t="n">
        <f aca="false">G176</f>
        <v>0.14</v>
      </c>
      <c r="AJ176" s="9" t="n">
        <f aca="false">H176*1.2</f>
        <v>345.6</v>
      </c>
      <c r="AK176" s="8" t="n">
        <f aca="false">I176</f>
        <v>0</v>
      </c>
      <c r="AL176" s="8" t="n">
        <f aca="false">J176</f>
        <v>0</v>
      </c>
      <c r="AM176" s="9" t="n">
        <f aca="false">K176</f>
        <v>0.62</v>
      </c>
      <c r="AN176" s="6" t="n">
        <f aca="false">$R$2 + SUMPRODUCT(AD176:AM176,$S$2:$AB$2)</f>
        <v>-2.2610619695</v>
      </c>
      <c r="AO176" s="6" t="n">
        <f aca="false">1/(1+EXP(-AN176))</f>
        <v>0.0943995439017781</v>
      </c>
    </row>
    <row r="177" customFormat="false" ht="15" hidden="false" customHeight="false" outlineLevel="0" collapsed="false">
      <c r="A177" s="3" t="s">
        <v>241</v>
      </c>
      <c r="B177" s="4" t="n">
        <v>68</v>
      </c>
      <c r="C177" s="4" t="n">
        <v>67300</v>
      </c>
      <c r="D177" s="4" t="n">
        <v>6</v>
      </c>
      <c r="E177" s="5" t="n">
        <v>120.31</v>
      </c>
      <c r="F177" s="4" t="n">
        <v>5</v>
      </c>
      <c r="G177" s="5" t="n">
        <v>0.43</v>
      </c>
      <c r="H177" s="4" t="n">
        <v>280</v>
      </c>
      <c r="I177" s="4" t="n">
        <v>0</v>
      </c>
      <c r="J177" s="4" t="n">
        <v>0</v>
      </c>
      <c r="K177" s="5" t="n">
        <v>0.45</v>
      </c>
      <c r="L177" s="4" t="n">
        <v>0</v>
      </c>
      <c r="M177" s="6" t="n">
        <f aca="false">$R$2 + SUMPRODUCT(B177:K177,$S$2:$AB$2)</f>
        <v>-0.43175939</v>
      </c>
      <c r="N177" s="6" t="n">
        <f aca="false">1/(1+EXP(-M177))</f>
        <v>0.393706283833797</v>
      </c>
      <c r="O177" s="6" t="n">
        <f aca="false">IF(L177=1,N177,1-N177)</f>
        <v>0.606293716166203</v>
      </c>
      <c r="P177" s="6" t="n">
        <f aca="false">LN(O177)</f>
        <v>-0.500390730190054</v>
      </c>
      <c r="AD177" s="8" t="n">
        <f aca="false">B177</f>
        <v>68</v>
      </c>
      <c r="AE177" s="8" t="n">
        <f aca="false">C177</f>
        <v>67300</v>
      </c>
      <c r="AF177" s="8" t="n">
        <f aca="false">D177</f>
        <v>6</v>
      </c>
      <c r="AG177" s="9" t="n">
        <f aca="false">E177*0.85</f>
        <v>102.2635</v>
      </c>
      <c r="AH177" s="9" t="n">
        <f aca="false">F177*0.9</f>
        <v>4.5</v>
      </c>
      <c r="AI177" s="9" t="n">
        <f aca="false">G177</f>
        <v>0.43</v>
      </c>
      <c r="AJ177" s="9" t="n">
        <f aca="false">H177*1.2</f>
        <v>336</v>
      </c>
      <c r="AK177" s="8" t="n">
        <f aca="false">I177</f>
        <v>0</v>
      </c>
      <c r="AL177" s="8" t="n">
        <f aca="false">J177</f>
        <v>0</v>
      </c>
      <c r="AM177" s="9" t="n">
        <f aca="false">K177</f>
        <v>0.45</v>
      </c>
      <c r="AN177" s="6" t="n">
        <f aca="false">$R$2 + SUMPRODUCT(AD177:AM177,$S$2:$AB$2)</f>
        <v>-1.0546575245</v>
      </c>
      <c r="AO177" s="6" t="n">
        <f aca="false">1/(1+EXP(-AN177))</f>
        <v>0.258331731726913</v>
      </c>
    </row>
    <row r="178" customFormat="false" ht="15" hidden="false" customHeight="false" outlineLevel="0" collapsed="false">
      <c r="A178" s="3" t="s">
        <v>242</v>
      </c>
      <c r="B178" s="4" t="n">
        <v>39</v>
      </c>
      <c r="C178" s="4" t="n">
        <v>74100</v>
      </c>
      <c r="D178" s="4" t="n">
        <v>2</v>
      </c>
      <c r="E178" s="5" t="n">
        <v>56</v>
      </c>
      <c r="F178" s="4" t="n">
        <v>4</v>
      </c>
      <c r="G178" s="5" t="n">
        <v>0.49</v>
      </c>
      <c r="H178" s="4" t="n">
        <v>116</v>
      </c>
      <c r="I178" s="4" t="n">
        <v>0</v>
      </c>
      <c r="J178" s="4" t="n">
        <v>1</v>
      </c>
      <c r="K178" s="5" t="n">
        <v>0.39</v>
      </c>
      <c r="L178" s="4" t="n">
        <v>1</v>
      </c>
      <c r="M178" s="6" t="n">
        <f aca="false">$R$2 + SUMPRODUCT(B178:K178,$S$2:$AB$2)</f>
        <v>-0.0724093400000001</v>
      </c>
      <c r="N178" s="6" t="n">
        <f aca="false">1/(1+EXP(-M178))</f>
        <v>0.481905570236827</v>
      </c>
      <c r="O178" s="6" t="n">
        <f aca="false">IF(L178=1,N178,1-N178)</f>
        <v>0.481905570236827</v>
      </c>
      <c r="P178" s="6" t="n">
        <f aca="false">LN(O178)</f>
        <v>-0.730007096496601</v>
      </c>
      <c r="AD178" s="8" t="n">
        <f aca="false">B178</f>
        <v>39</v>
      </c>
      <c r="AE178" s="8" t="n">
        <f aca="false">C178</f>
        <v>74100</v>
      </c>
      <c r="AF178" s="8" t="n">
        <f aca="false">D178</f>
        <v>2</v>
      </c>
      <c r="AG178" s="9" t="n">
        <f aca="false">E178*0.85</f>
        <v>47.6</v>
      </c>
      <c r="AH178" s="9" t="n">
        <f aca="false">F178*0.9</f>
        <v>3.6</v>
      </c>
      <c r="AI178" s="9" t="n">
        <f aca="false">G178</f>
        <v>0.49</v>
      </c>
      <c r="AJ178" s="9" t="n">
        <f aca="false">H178*1.2</f>
        <v>139.2</v>
      </c>
      <c r="AK178" s="8" t="n">
        <f aca="false">I178</f>
        <v>0</v>
      </c>
      <c r="AL178" s="8" t="n">
        <f aca="false">J178</f>
        <v>1</v>
      </c>
      <c r="AM178" s="9" t="n">
        <f aca="false">K178</f>
        <v>0.39</v>
      </c>
      <c r="AN178" s="6" t="n">
        <f aca="false">$R$2 + SUMPRODUCT(AD178:AM178,$S$2:$AB$2)</f>
        <v>-0.36525734</v>
      </c>
      <c r="AO178" s="6" t="n">
        <f aca="false">1/(1+EXP(-AN178))</f>
        <v>0.409687510577712</v>
      </c>
    </row>
    <row r="179" customFormat="false" ht="15" hidden="false" customHeight="false" outlineLevel="0" collapsed="false">
      <c r="A179" s="3" t="s">
        <v>243</v>
      </c>
      <c r="B179" s="4" t="n">
        <v>45</v>
      </c>
      <c r="C179" s="4" t="n">
        <v>23300</v>
      </c>
      <c r="D179" s="4" t="n">
        <v>5</v>
      </c>
      <c r="E179" s="5" t="n">
        <v>46.8</v>
      </c>
      <c r="F179" s="4" t="n">
        <v>5</v>
      </c>
      <c r="G179" s="5" t="n">
        <v>0.13</v>
      </c>
      <c r="H179" s="4" t="n">
        <v>269</v>
      </c>
      <c r="I179" s="4" t="n">
        <v>0</v>
      </c>
      <c r="J179" s="4" t="n">
        <v>0</v>
      </c>
      <c r="K179" s="5" t="n">
        <v>0.33</v>
      </c>
      <c r="L179" s="4" t="n">
        <v>0</v>
      </c>
      <c r="M179" s="6" t="n">
        <f aca="false">$R$2 + SUMPRODUCT(B179:K179,$S$2:$AB$2)</f>
        <v>-2.92387448</v>
      </c>
      <c r="N179" s="6" t="n">
        <f aca="false">1/(1+EXP(-M179))</f>
        <v>0.0509859025322263</v>
      </c>
      <c r="O179" s="6" t="n">
        <f aca="false">IF(L179=1,N179,1-N179)</f>
        <v>0.949014097467774</v>
      </c>
      <c r="P179" s="6" t="n">
        <f aca="false">LN(O179)</f>
        <v>-0.0523316254058602</v>
      </c>
      <c r="AD179" s="8" t="n">
        <f aca="false">B179</f>
        <v>45</v>
      </c>
      <c r="AE179" s="8" t="n">
        <f aca="false">C179</f>
        <v>23300</v>
      </c>
      <c r="AF179" s="8" t="n">
        <f aca="false">D179</f>
        <v>5</v>
      </c>
      <c r="AG179" s="9" t="n">
        <f aca="false">E179*0.85</f>
        <v>39.78</v>
      </c>
      <c r="AH179" s="9" t="n">
        <f aca="false">F179*0.9</f>
        <v>4.5</v>
      </c>
      <c r="AI179" s="9" t="n">
        <f aca="false">G179</f>
        <v>0.13</v>
      </c>
      <c r="AJ179" s="9" t="n">
        <f aca="false">H179*1.2</f>
        <v>322.8</v>
      </c>
      <c r="AK179" s="8" t="n">
        <f aca="false">I179</f>
        <v>0</v>
      </c>
      <c r="AL179" s="8" t="n">
        <f aca="false">J179</f>
        <v>0</v>
      </c>
      <c r="AM179" s="9" t="n">
        <f aca="false">K179</f>
        <v>0.33</v>
      </c>
      <c r="AN179" s="6" t="n">
        <f aca="false">$R$2 + SUMPRODUCT(AD179:AM179,$S$2:$AB$2)</f>
        <v>-3.38598604</v>
      </c>
      <c r="AO179" s="6" t="n">
        <f aca="false">1/(1+EXP(-AN179))</f>
        <v>0.0327363178397601</v>
      </c>
    </row>
    <row r="180" customFormat="false" ht="15" hidden="false" customHeight="false" outlineLevel="0" collapsed="false">
      <c r="A180" s="3" t="s">
        <v>244</v>
      </c>
      <c r="B180" s="4" t="n">
        <v>19</v>
      </c>
      <c r="C180" s="4" t="n">
        <v>33700</v>
      </c>
      <c r="D180" s="4" t="n">
        <v>7</v>
      </c>
      <c r="E180" s="5" t="n">
        <v>74.33</v>
      </c>
      <c r="F180" s="4" t="n">
        <v>3</v>
      </c>
      <c r="G180" s="5" t="n">
        <v>0.26</v>
      </c>
      <c r="H180" s="4" t="n">
        <v>335</v>
      </c>
      <c r="I180" s="4" t="n">
        <v>1</v>
      </c>
      <c r="J180" s="4" t="n">
        <v>1</v>
      </c>
      <c r="K180" s="5" t="n">
        <v>0.42</v>
      </c>
      <c r="L180" s="4" t="n">
        <v>0</v>
      </c>
      <c r="M180" s="6" t="n">
        <f aca="false">$R$2 + SUMPRODUCT(B180:K180,$S$2:$AB$2)</f>
        <v>-0.57730079</v>
      </c>
      <c r="N180" s="6" t="n">
        <f aca="false">1/(1+EXP(-M180))</f>
        <v>0.359553918055541</v>
      </c>
      <c r="O180" s="6" t="n">
        <f aca="false">IF(L180=1,N180,1-N180)</f>
        <v>0.640446081944459</v>
      </c>
      <c r="P180" s="6" t="n">
        <f aca="false">LN(O180)</f>
        <v>-0.445590342384008</v>
      </c>
      <c r="AD180" s="8" t="n">
        <f aca="false">B180</f>
        <v>19</v>
      </c>
      <c r="AE180" s="8" t="n">
        <f aca="false">C180</f>
        <v>33700</v>
      </c>
      <c r="AF180" s="8" t="n">
        <f aca="false">D180</f>
        <v>7</v>
      </c>
      <c r="AG180" s="9" t="n">
        <f aca="false">E180*0.85</f>
        <v>63.1805</v>
      </c>
      <c r="AH180" s="9" t="n">
        <f aca="false">F180*0.9</f>
        <v>2.7</v>
      </c>
      <c r="AI180" s="9" t="n">
        <f aca="false">G180</f>
        <v>0.26</v>
      </c>
      <c r="AJ180" s="9" t="n">
        <f aca="false">H180*1.2</f>
        <v>402</v>
      </c>
      <c r="AK180" s="8" t="n">
        <f aca="false">I180</f>
        <v>1</v>
      </c>
      <c r="AL180" s="8" t="n">
        <f aca="false">J180</f>
        <v>1</v>
      </c>
      <c r="AM180" s="9" t="n">
        <f aca="false">K180</f>
        <v>0.42</v>
      </c>
      <c r="AN180" s="6" t="n">
        <f aca="false">$R$2 + SUMPRODUCT(AD180:AM180,$S$2:$AB$2)</f>
        <v>-1.1476769235</v>
      </c>
      <c r="AO180" s="6" t="n">
        <f aca="false">1/(1+EXP(-AN180))</f>
        <v>0.24091365823105</v>
      </c>
    </row>
    <row r="181" customFormat="false" ht="15" hidden="false" customHeight="false" outlineLevel="0" collapsed="false">
      <c r="A181" s="3" t="s">
        <v>245</v>
      </c>
      <c r="B181" s="4" t="n">
        <v>59</v>
      </c>
      <c r="C181" s="4" t="n">
        <v>18300</v>
      </c>
      <c r="D181" s="4" t="n">
        <v>6</v>
      </c>
      <c r="E181" s="5" t="n">
        <v>72.81</v>
      </c>
      <c r="F181" s="4" t="n">
        <v>1</v>
      </c>
      <c r="G181" s="5" t="n">
        <v>0.39</v>
      </c>
      <c r="H181" s="4" t="n">
        <v>312</v>
      </c>
      <c r="I181" s="4" t="n">
        <v>0</v>
      </c>
      <c r="J181" s="4" t="n">
        <v>1</v>
      </c>
      <c r="K181" s="5" t="n">
        <v>0.41</v>
      </c>
      <c r="L181" s="4" t="n">
        <v>0</v>
      </c>
      <c r="M181" s="6" t="n">
        <f aca="false">$R$2 + SUMPRODUCT(B181:K181,$S$2:$AB$2)</f>
        <v>-2.22369605</v>
      </c>
      <c r="N181" s="6" t="n">
        <f aca="false">1/(1+EXP(-M181))</f>
        <v>0.0976426659564282</v>
      </c>
      <c r="O181" s="6" t="n">
        <f aca="false">IF(L181=1,N181,1-N181)</f>
        <v>0.902357334043572</v>
      </c>
      <c r="P181" s="6" t="n">
        <f aca="false">LN(O181)</f>
        <v>-0.102744679892924</v>
      </c>
      <c r="AD181" s="8" t="n">
        <f aca="false">B181</f>
        <v>59</v>
      </c>
      <c r="AE181" s="8" t="n">
        <f aca="false">C181</f>
        <v>18300</v>
      </c>
      <c r="AF181" s="8" t="n">
        <f aca="false">D181</f>
        <v>6</v>
      </c>
      <c r="AG181" s="9" t="n">
        <f aca="false">E181*0.85</f>
        <v>61.8885</v>
      </c>
      <c r="AH181" s="9" t="n">
        <f aca="false">F181*0.9</f>
        <v>0.9</v>
      </c>
      <c r="AI181" s="9" t="n">
        <f aca="false">G181</f>
        <v>0.39</v>
      </c>
      <c r="AJ181" s="9" t="n">
        <f aca="false">H181*1.2</f>
        <v>374.4</v>
      </c>
      <c r="AK181" s="8" t="n">
        <f aca="false">I181</f>
        <v>0</v>
      </c>
      <c r="AL181" s="8" t="n">
        <f aca="false">J181</f>
        <v>1</v>
      </c>
      <c r="AM181" s="9" t="n">
        <f aca="false">K181</f>
        <v>0.41</v>
      </c>
      <c r="AN181" s="6" t="n">
        <f aca="false">$R$2 + SUMPRODUCT(AD181:AM181,$S$2:$AB$2)</f>
        <v>-2.7413100595</v>
      </c>
      <c r="AO181" s="6" t="n">
        <f aca="false">1/(1+EXP(-AN181))</f>
        <v>0.0605793056128728</v>
      </c>
    </row>
    <row r="182" customFormat="false" ht="15" hidden="false" customHeight="false" outlineLevel="0" collapsed="false">
      <c r="A182" s="3" t="s">
        <v>246</v>
      </c>
      <c r="B182" s="4" t="n">
        <v>62</v>
      </c>
      <c r="C182" s="4" t="n">
        <v>50200</v>
      </c>
      <c r="D182" s="4" t="n">
        <v>7</v>
      </c>
      <c r="E182" s="5" t="n">
        <v>94.82</v>
      </c>
      <c r="F182" s="4" t="n">
        <v>3</v>
      </c>
      <c r="G182" s="5" t="n">
        <v>0.18</v>
      </c>
      <c r="H182" s="4" t="n">
        <v>53</v>
      </c>
      <c r="I182" s="4" t="n">
        <v>0</v>
      </c>
      <c r="J182" s="4" t="n">
        <v>1</v>
      </c>
      <c r="K182" s="5" t="n">
        <v>0.22</v>
      </c>
      <c r="L182" s="4" t="n">
        <v>1</v>
      </c>
      <c r="M182" s="6" t="n">
        <f aca="false">$R$2 + SUMPRODUCT(B182:K182,$S$2:$AB$2)</f>
        <v>0.1201891</v>
      </c>
      <c r="N182" s="6" t="n">
        <f aca="false">1/(1+EXP(-M182))</f>
        <v>0.53001115671515</v>
      </c>
      <c r="O182" s="6" t="n">
        <f aca="false">IF(L182=1,N182,1-N182)</f>
        <v>0.53001115671515</v>
      </c>
      <c r="P182" s="6" t="n">
        <f aca="false">LN(O182)</f>
        <v>-0.634857222251584</v>
      </c>
      <c r="AD182" s="8" t="n">
        <f aca="false">B182</f>
        <v>62</v>
      </c>
      <c r="AE182" s="8" t="n">
        <f aca="false">C182</f>
        <v>50200</v>
      </c>
      <c r="AF182" s="8" t="n">
        <f aca="false">D182</f>
        <v>7</v>
      </c>
      <c r="AG182" s="9" t="n">
        <f aca="false">E182*0.85</f>
        <v>80.597</v>
      </c>
      <c r="AH182" s="9" t="n">
        <f aca="false">F182*0.9</f>
        <v>2.7</v>
      </c>
      <c r="AI182" s="9" t="n">
        <f aca="false">G182</f>
        <v>0.18</v>
      </c>
      <c r="AJ182" s="9" t="n">
        <f aca="false">H182*1.2</f>
        <v>63.6</v>
      </c>
      <c r="AK182" s="8" t="n">
        <f aca="false">I182</f>
        <v>0</v>
      </c>
      <c r="AL182" s="8" t="n">
        <f aca="false">J182</f>
        <v>1</v>
      </c>
      <c r="AM182" s="9" t="n">
        <f aca="false">K182</f>
        <v>0.22</v>
      </c>
      <c r="AN182" s="6" t="n">
        <f aca="false">$R$2 + SUMPRODUCT(AD182:AM182,$S$2:$AB$2)</f>
        <v>-0.166722158999999</v>
      </c>
      <c r="AO182" s="6" t="n">
        <f aca="false">1/(1+EXP(-AN182))</f>
        <v>0.458415739628235</v>
      </c>
    </row>
    <row r="183" customFormat="false" ht="15" hidden="false" customHeight="false" outlineLevel="0" collapsed="false">
      <c r="A183" s="3" t="s">
        <v>247</v>
      </c>
      <c r="B183" s="4" t="n">
        <v>23</v>
      </c>
      <c r="C183" s="4" t="n">
        <v>67900</v>
      </c>
      <c r="D183" s="4" t="n">
        <v>9</v>
      </c>
      <c r="E183" s="5" t="n">
        <v>33.55</v>
      </c>
      <c r="F183" s="4" t="n">
        <v>3</v>
      </c>
      <c r="G183" s="5" t="n">
        <v>0.14</v>
      </c>
      <c r="H183" s="4" t="n">
        <v>68</v>
      </c>
      <c r="I183" s="4" t="n">
        <v>1</v>
      </c>
      <c r="J183" s="4" t="n">
        <v>1</v>
      </c>
      <c r="K183" s="5" t="n">
        <v>0.19</v>
      </c>
      <c r="L183" s="4" t="n">
        <v>1</v>
      </c>
      <c r="M183" s="6" t="n">
        <f aca="false">$R$2 + SUMPRODUCT(B183:K183,$S$2:$AB$2)</f>
        <v>1.07048936</v>
      </c>
      <c r="N183" s="6" t="n">
        <f aca="false">1/(1+EXP(-M183))</f>
        <v>0.744689967428313</v>
      </c>
      <c r="O183" s="6" t="n">
        <f aca="false">IF(L183=1,N183,1-N183)</f>
        <v>0.744689967428313</v>
      </c>
      <c r="P183" s="6" t="n">
        <f aca="false">LN(O183)</f>
        <v>-0.294787298320415</v>
      </c>
      <c r="AD183" s="8" t="n">
        <f aca="false">B183</f>
        <v>23</v>
      </c>
      <c r="AE183" s="8" t="n">
        <f aca="false">C183</f>
        <v>67900</v>
      </c>
      <c r="AF183" s="8" t="n">
        <f aca="false">D183</f>
        <v>9</v>
      </c>
      <c r="AG183" s="9" t="n">
        <f aca="false">E183*0.85</f>
        <v>28.5175</v>
      </c>
      <c r="AH183" s="9" t="n">
        <f aca="false">F183*0.9</f>
        <v>2.7</v>
      </c>
      <c r="AI183" s="9" t="n">
        <f aca="false">G183</f>
        <v>0.14</v>
      </c>
      <c r="AJ183" s="9" t="n">
        <f aca="false">H183*1.2</f>
        <v>81.6</v>
      </c>
      <c r="AK183" s="8" t="n">
        <f aca="false">I183</f>
        <v>1</v>
      </c>
      <c r="AL183" s="8" t="n">
        <f aca="false">J183</f>
        <v>1</v>
      </c>
      <c r="AM183" s="9" t="n">
        <f aca="false">K183</f>
        <v>0.19</v>
      </c>
      <c r="AN183" s="6" t="n">
        <f aca="false">$R$2 + SUMPRODUCT(AD183:AM183,$S$2:$AB$2)</f>
        <v>0.8897600875</v>
      </c>
      <c r="AO183" s="6" t="n">
        <f aca="false">1/(1+EXP(-AN183))</f>
        <v>0.708840660566981</v>
      </c>
    </row>
    <row r="184" customFormat="false" ht="15" hidden="false" customHeight="false" outlineLevel="0" collapsed="false">
      <c r="A184" s="3" t="s">
        <v>248</v>
      </c>
      <c r="B184" s="4" t="n">
        <v>45</v>
      </c>
      <c r="C184" s="4" t="n">
        <v>82000</v>
      </c>
      <c r="D184" s="4" t="n">
        <v>6</v>
      </c>
      <c r="E184" s="5" t="n">
        <v>83.28</v>
      </c>
      <c r="F184" s="4" t="n">
        <v>3</v>
      </c>
      <c r="G184" s="5" t="n">
        <v>0.22</v>
      </c>
      <c r="H184" s="4" t="n">
        <v>182</v>
      </c>
      <c r="I184" s="4" t="n">
        <v>1</v>
      </c>
      <c r="J184" s="4" t="n">
        <v>0</v>
      </c>
      <c r="K184" s="5" t="n">
        <v>0.29</v>
      </c>
      <c r="L184" s="4" t="n">
        <v>1</v>
      </c>
      <c r="M184" s="6" t="n">
        <f aca="false">$R$2 + SUMPRODUCT(B184:K184,$S$2:$AB$2)</f>
        <v>0.20226843</v>
      </c>
      <c r="N184" s="6" t="n">
        <f aca="false">1/(1+EXP(-M184))</f>
        <v>0.550395407626182</v>
      </c>
      <c r="O184" s="6" t="n">
        <f aca="false">IF(L184=1,N184,1-N184)</f>
        <v>0.550395407626182</v>
      </c>
      <c r="P184" s="6" t="n">
        <f aca="false">LN(O184)</f>
        <v>-0.597118336100244</v>
      </c>
      <c r="AD184" s="8" t="n">
        <f aca="false">B184</f>
        <v>45</v>
      </c>
      <c r="AE184" s="8" t="n">
        <f aca="false">C184</f>
        <v>82000</v>
      </c>
      <c r="AF184" s="8" t="n">
        <f aca="false">D184</f>
        <v>6</v>
      </c>
      <c r="AG184" s="9" t="n">
        <f aca="false">E184*0.85</f>
        <v>70.788</v>
      </c>
      <c r="AH184" s="9" t="n">
        <f aca="false">F184*0.9</f>
        <v>2.7</v>
      </c>
      <c r="AI184" s="9" t="n">
        <f aca="false">G184</f>
        <v>0.22</v>
      </c>
      <c r="AJ184" s="9" t="n">
        <f aca="false">H184*1.2</f>
        <v>218.4</v>
      </c>
      <c r="AK184" s="8" t="n">
        <f aca="false">I184</f>
        <v>1</v>
      </c>
      <c r="AL184" s="8" t="n">
        <f aca="false">J184</f>
        <v>0</v>
      </c>
      <c r="AM184" s="9" t="n">
        <f aca="false">K184</f>
        <v>0.29</v>
      </c>
      <c r="AN184" s="6" t="n">
        <f aca="false">$R$2 + SUMPRODUCT(AD184:AM184,$S$2:$AB$2)</f>
        <v>-0.209946706</v>
      </c>
      <c r="AO184" s="6" t="n">
        <f aca="false">1/(1+EXP(-AN184))</f>
        <v>0.447705268143766</v>
      </c>
    </row>
    <row r="185" customFormat="false" ht="15" hidden="false" customHeight="false" outlineLevel="0" collapsed="false">
      <c r="A185" s="3" t="s">
        <v>249</v>
      </c>
      <c r="B185" s="4" t="n">
        <v>45</v>
      </c>
      <c r="C185" s="4" t="n">
        <v>56300</v>
      </c>
      <c r="D185" s="4" t="n">
        <v>8</v>
      </c>
      <c r="E185" s="5" t="n">
        <v>79.76</v>
      </c>
      <c r="F185" s="4" t="n">
        <v>6</v>
      </c>
      <c r="G185" s="5" t="n">
        <v>0.91</v>
      </c>
      <c r="H185" s="4" t="n">
        <v>34</v>
      </c>
      <c r="I185" s="4" t="n">
        <v>1</v>
      </c>
      <c r="J185" s="4" t="n">
        <v>1</v>
      </c>
      <c r="K185" s="5" t="n">
        <v>0.48</v>
      </c>
      <c r="L185" s="4" t="n">
        <v>1</v>
      </c>
      <c r="M185" s="6" t="n">
        <f aca="false">$R$2 + SUMPRODUCT(B185:K185,$S$2:$AB$2)</f>
        <v>3.12782453</v>
      </c>
      <c r="N185" s="6" t="n">
        <f aca="false">1/(1+EXP(-M185))</f>
        <v>0.958025999658112</v>
      </c>
      <c r="O185" s="6" t="n">
        <f aca="false">IF(L185=1,N185,1-N185)</f>
        <v>0.958025999658112</v>
      </c>
      <c r="P185" s="6" t="n">
        <f aca="false">LN(O185)</f>
        <v>-0.042880361861684</v>
      </c>
      <c r="AD185" s="8" t="n">
        <f aca="false">B185</f>
        <v>45</v>
      </c>
      <c r="AE185" s="8" t="n">
        <f aca="false">C185</f>
        <v>56300</v>
      </c>
      <c r="AF185" s="8" t="n">
        <f aca="false">D185</f>
        <v>8</v>
      </c>
      <c r="AG185" s="9" t="n">
        <f aca="false">E185*0.85</f>
        <v>67.796</v>
      </c>
      <c r="AH185" s="9" t="n">
        <f aca="false">F185*0.9</f>
        <v>5.4</v>
      </c>
      <c r="AI185" s="9" t="n">
        <f aca="false">G185</f>
        <v>0.91</v>
      </c>
      <c r="AJ185" s="9" t="n">
        <f aca="false">H185*1.2</f>
        <v>40.8</v>
      </c>
      <c r="AK185" s="8" t="n">
        <f aca="false">I185</f>
        <v>1</v>
      </c>
      <c r="AL185" s="8" t="n">
        <f aca="false">J185</f>
        <v>1</v>
      </c>
      <c r="AM185" s="9" t="n">
        <f aca="false">K185</f>
        <v>0.48</v>
      </c>
      <c r="AN185" s="6" t="n">
        <f aca="false">$R$2 + SUMPRODUCT(AD185:AM185,$S$2:$AB$2)</f>
        <v>2.858319918</v>
      </c>
      <c r="AO185" s="6" t="n">
        <f aca="false">1/(1+EXP(-AN185))</f>
        <v>0.945747159932265</v>
      </c>
    </row>
    <row r="186" customFormat="false" ht="15" hidden="false" customHeight="false" outlineLevel="0" collapsed="false">
      <c r="A186" s="3" t="s">
        <v>250</v>
      </c>
      <c r="B186" s="4" t="n">
        <v>61</v>
      </c>
      <c r="C186" s="4" t="n">
        <v>84300</v>
      </c>
      <c r="D186" s="4" t="n">
        <v>3</v>
      </c>
      <c r="E186" s="5" t="n">
        <v>61.45</v>
      </c>
      <c r="F186" s="4" t="n">
        <v>7</v>
      </c>
      <c r="G186" s="5" t="n">
        <v>0.23</v>
      </c>
      <c r="H186" s="4" t="n">
        <v>284</v>
      </c>
      <c r="I186" s="4" t="n">
        <v>0</v>
      </c>
      <c r="J186" s="4" t="n">
        <v>0</v>
      </c>
      <c r="K186" s="5" t="n">
        <v>0.46</v>
      </c>
      <c r="L186" s="4" t="n">
        <v>0</v>
      </c>
      <c r="M186" s="6" t="n">
        <f aca="false">$R$2 + SUMPRODUCT(B186:K186,$S$2:$AB$2)</f>
        <v>-1.42753964</v>
      </c>
      <c r="N186" s="6" t="n">
        <f aca="false">1/(1+EXP(-M186))</f>
        <v>0.193482326307935</v>
      </c>
      <c r="O186" s="6" t="n">
        <f aca="false">IF(L186=1,N186,1-N186)</f>
        <v>0.806517673692065</v>
      </c>
      <c r="P186" s="6" t="n">
        <f aca="false">LN(O186)</f>
        <v>-0.215029467593666</v>
      </c>
      <c r="AD186" s="8" t="n">
        <f aca="false">B186</f>
        <v>61</v>
      </c>
      <c r="AE186" s="8" t="n">
        <f aca="false">C186</f>
        <v>84300</v>
      </c>
      <c r="AF186" s="8" t="n">
        <f aca="false">D186</f>
        <v>3</v>
      </c>
      <c r="AG186" s="9" t="n">
        <f aca="false">E186*0.85</f>
        <v>52.2325</v>
      </c>
      <c r="AH186" s="9" t="n">
        <f aca="false">F186*0.9</f>
        <v>6.3</v>
      </c>
      <c r="AI186" s="9" t="n">
        <f aca="false">G186</f>
        <v>0.23</v>
      </c>
      <c r="AJ186" s="9" t="n">
        <f aca="false">H186*1.2</f>
        <v>340.8</v>
      </c>
      <c r="AK186" s="8" t="n">
        <f aca="false">I186</f>
        <v>0</v>
      </c>
      <c r="AL186" s="8" t="n">
        <f aca="false">J186</f>
        <v>0</v>
      </c>
      <c r="AM186" s="9" t="n">
        <f aca="false">K186</f>
        <v>0.46</v>
      </c>
      <c r="AN186" s="6" t="n">
        <f aca="false">$R$2 + SUMPRODUCT(AD186:AM186,$S$2:$AB$2)</f>
        <v>-1.9596568175</v>
      </c>
      <c r="AO186" s="6" t="n">
        <f aca="false">1/(1+EXP(-AN186))</f>
        <v>0.123504192582362</v>
      </c>
    </row>
    <row r="187" customFormat="false" ht="15" hidden="false" customHeight="false" outlineLevel="0" collapsed="false">
      <c r="A187" s="3" t="s">
        <v>251</v>
      </c>
      <c r="B187" s="4" t="n">
        <v>61</v>
      </c>
      <c r="C187" s="4" t="n">
        <v>30200</v>
      </c>
      <c r="D187" s="4" t="n">
        <v>6</v>
      </c>
      <c r="E187" s="5" t="n">
        <v>73.47</v>
      </c>
      <c r="F187" s="4" t="n">
        <v>5</v>
      </c>
      <c r="G187" s="5" t="n">
        <v>0.81</v>
      </c>
      <c r="H187" s="4" t="n">
        <v>306</v>
      </c>
      <c r="I187" s="4" t="n">
        <v>1</v>
      </c>
      <c r="J187" s="4" t="n">
        <v>1</v>
      </c>
      <c r="K187" s="5" t="n">
        <v>0.36</v>
      </c>
      <c r="L187" s="4" t="n">
        <v>1</v>
      </c>
      <c r="M187" s="6" t="n">
        <f aca="false">$R$2 + SUMPRODUCT(B187:K187,$S$2:$AB$2)</f>
        <v>-0.103625099999999</v>
      </c>
      <c r="N187" s="6" t="n">
        <f aca="false">1/(1+EXP(-M187))</f>
        <v>0.474116882280401</v>
      </c>
      <c r="O187" s="6" t="n">
        <f aca="false">IF(L187=1,N187,1-N187)</f>
        <v>0.474116882280401</v>
      </c>
      <c r="P187" s="6" t="n">
        <f aca="false">LN(O187)</f>
        <v>-0.746301400595207</v>
      </c>
      <c r="AD187" s="8" t="n">
        <f aca="false">B187</f>
        <v>61</v>
      </c>
      <c r="AE187" s="8" t="n">
        <f aca="false">C187</f>
        <v>30200</v>
      </c>
      <c r="AF187" s="8" t="n">
        <f aca="false">D187</f>
        <v>6</v>
      </c>
      <c r="AG187" s="9" t="n">
        <f aca="false">E187*0.85</f>
        <v>62.4495</v>
      </c>
      <c r="AH187" s="9" t="n">
        <f aca="false">F187*0.9</f>
        <v>4.5</v>
      </c>
      <c r="AI187" s="9" t="n">
        <f aca="false">G187</f>
        <v>0.81</v>
      </c>
      <c r="AJ187" s="9" t="n">
        <f aca="false">H187*1.2</f>
        <v>367.2</v>
      </c>
      <c r="AK187" s="8" t="n">
        <f aca="false">I187</f>
        <v>1</v>
      </c>
      <c r="AL187" s="8" t="n">
        <f aca="false">J187</f>
        <v>1</v>
      </c>
      <c r="AM187" s="9" t="n">
        <f aca="false">K187</f>
        <v>0.36</v>
      </c>
      <c r="AN187" s="6" t="n">
        <f aca="false">$R$2 + SUMPRODUCT(AD187:AM187,$S$2:$AB$2)</f>
        <v>-0.662084576499999</v>
      </c>
      <c r="AO187" s="6" t="n">
        <f aca="false">1/(1+EXP(-AN187))</f>
        <v>0.340271495933172</v>
      </c>
    </row>
    <row r="188" customFormat="false" ht="15" hidden="false" customHeight="false" outlineLevel="0" collapsed="false">
      <c r="A188" s="3" t="s">
        <v>252</v>
      </c>
      <c r="B188" s="4" t="n">
        <v>37</v>
      </c>
      <c r="C188" s="4" t="n">
        <v>24300</v>
      </c>
      <c r="D188" s="4" t="n">
        <v>2</v>
      </c>
      <c r="E188" s="5" t="n">
        <v>90.74</v>
      </c>
      <c r="F188" s="4" t="n">
        <v>4</v>
      </c>
      <c r="G188" s="5" t="n">
        <v>0.44</v>
      </c>
      <c r="H188" s="4" t="n">
        <v>249</v>
      </c>
      <c r="I188" s="4" t="n">
        <v>1</v>
      </c>
      <c r="J188" s="4" t="n">
        <v>1</v>
      </c>
      <c r="K188" s="5" t="n">
        <v>0.17</v>
      </c>
      <c r="L188" s="4" t="n">
        <v>0</v>
      </c>
      <c r="M188" s="6" t="n">
        <f aca="false">$R$2 + SUMPRODUCT(B188:K188,$S$2:$AB$2)</f>
        <v>-1.10206073</v>
      </c>
      <c r="N188" s="6" t="n">
        <f aca="false">1/(1+EXP(-M188))</f>
        <v>0.249353974835438</v>
      </c>
      <c r="O188" s="6" t="n">
        <f aca="false">IF(L188=1,N188,1-N188)</f>
        <v>0.750646025164563</v>
      </c>
      <c r="P188" s="6" t="n">
        <f aca="false">LN(O188)</f>
        <v>-0.28682107632926</v>
      </c>
      <c r="AD188" s="8" t="n">
        <f aca="false">B188</f>
        <v>37</v>
      </c>
      <c r="AE188" s="8" t="n">
        <f aca="false">C188</f>
        <v>24300</v>
      </c>
      <c r="AF188" s="8" t="n">
        <f aca="false">D188</f>
        <v>2</v>
      </c>
      <c r="AG188" s="9" t="n">
        <f aca="false">E188*0.85</f>
        <v>77.129</v>
      </c>
      <c r="AH188" s="9" t="n">
        <f aca="false">F188*0.9</f>
        <v>3.6</v>
      </c>
      <c r="AI188" s="9" t="n">
        <f aca="false">G188</f>
        <v>0.44</v>
      </c>
      <c r="AJ188" s="9" t="n">
        <f aca="false">H188*1.2</f>
        <v>298.8</v>
      </c>
      <c r="AK188" s="8" t="n">
        <f aca="false">I188</f>
        <v>1</v>
      </c>
      <c r="AL188" s="8" t="n">
        <f aca="false">J188</f>
        <v>1</v>
      </c>
      <c r="AM188" s="9" t="n">
        <f aca="false">K188</f>
        <v>0.17</v>
      </c>
      <c r="AN188" s="6" t="n">
        <f aca="false">$R$2 + SUMPRODUCT(AD188:AM188,$S$2:$AB$2)</f>
        <v>-1.618070893</v>
      </c>
      <c r="AO188" s="6" t="n">
        <f aca="false">1/(1+EXP(-AN188))</f>
        <v>0.165471089478304</v>
      </c>
    </row>
    <row r="189" customFormat="false" ht="15" hidden="false" customHeight="false" outlineLevel="0" collapsed="false">
      <c r="A189" s="3" t="s">
        <v>253</v>
      </c>
      <c r="B189" s="4" t="n">
        <v>47</v>
      </c>
      <c r="C189" s="4" t="n">
        <v>54000</v>
      </c>
      <c r="D189" s="4" t="n">
        <v>1</v>
      </c>
      <c r="E189" s="5" t="n">
        <v>86.81</v>
      </c>
      <c r="F189" s="4" t="n">
        <v>2</v>
      </c>
      <c r="G189" s="5" t="n">
        <v>0.6</v>
      </c>
      <c r="H189" s="4" t="n">
        <v>111</v>
      </c>
      <c r="I189" s="4" t="n">
        <v>0</v>
      </c>
      <c r="J189" s="4" t="n">
        <v>1</v>
      </c>
      <c r="K189" s="5" t="n">
        <v>0.28</v>
      </c>
      <c r="L189" s="4" t="n">
        <v>0</v>
      </c>
      <c r="M189" s="6" t="n">
        <f aca="false">$R$2 + SUMPRODUCT(B189:K189,$S$2:$AB$2)</f>
        <v>-0.54912943</v>
      </c>
      <c r="N189" s="6" t="n">
        <f aca="false">1/(1+EXP(-M189))</f>
        <v>0.366066411459125</v>
      </c>
      <c r="O189" s="6" t="n">
        <f aca="false">IF(L189=1,N189,1-N189)</f>
        <v>0.633933588540875</v>
      </c>
      <c r="P189" s="6" t="n">
        <f aca="false">LN(O189)</f>
        <v>-0.455811079967096</v>
      </c>
      <c r="AD189" s="8" t="n">
        <f aca="false">B189</f>
        <v>47</v>
      </c>
      <c r="AE189" s="8" t="n">
        <f aca="false">C189</f>
        <v>54000</v>
      </c>
      <c r="AF189" s="8" t="n">
        <f aca="false">D189</f>
        <v>1</v>
      </c>
      <c r="AG189" s="9" t="n">
        <f aca="false">E189*0.85</f>
        <v>73.7885</v>
      </c>
      <c r="AH189" s="9" t="n">
        <f aca="false">F189*0.9</f>
        <v>1.8</v>
      </c>
      <c r="AI189" s="9" t="n">
        <f aca="false">G189</f>
        <v>0.6</v>
      </c>
      <c r="AJ189" s="9" t="n">
        <f aca="false">H189*1.2</f>
        <v>133.2</v>
      </c>
      <c r="AK189" s="8" t="n">
        <f aca="false">I189</f>
        <v>0</v>
      </c>
      <c r="AL189" s="8" t="n">
        <f aca="false">J189</f>
        <v>1</v>
      </c>
      <c r="AM189" s="9" t="n">
        <f aca="false">K189</f>
        <v>0.28</v>
      </c>
      <c r="AN189" s="6" t="n">
        <f aca="false">$R$2 + SUMPRODUCT(AD189:AM189,$S$2:$AB$2)</f>
        <v>-0.8750874395</v>
      </c>
      <c r="AO189" s="6" t="n">
        <f aca="false">1/(1+EXP(-AN189))</f>
        <v>0.294196815456982</v>
      </c>
    </row>
    <row r="190" customFormat="false" ht="15" hidden="false" customHeight="false" outlineLevel="0" collapsed="false">
      <c r="A190" s="3" t="s">
        <v>254</v>
      </c>
      <c r="B190" s="4" t="n">
        <v>28</v>
      </c>
      <c r="C190" s="4" t="n">
        <v>61900</v>
      </c>
      <c r="D190" s="4" t="n">
        <v>2</v>
      </c>
      <c r="E190" s="5" t="n">
        <v>36.42</v>
      </c>
      <c r="F190" s="4" t="n">
        <v>0</v>
      </c>
      <c r="G190" s="5" t="n">
        <v>0.32</v>
      </c>
      <c r="H190" s="4" t="n">
        <v>94</v>
      </c>
      <c r="I190" s="4" t="n">
        <v>1</v>
      </c>
      <c r="J190" s="4" t="n">
        <v>0</v>
      </c>
      <c r="K190" s="5" t="n">
        <v>0.3</v>
      </c>
      <c r="L190" s="4" t="n">
        <v>0</v>
      </c>
      <c r="M190" s="6" t="n">
        <f aca="false">$R$2 + SUMPRODUCT(B190:K190,$S$2:$AB$2)</f>
        <v>-1.11445252</v>
      </c>
      <c r="N190" s="6" t="n">
        <f aca="false">1/(1+EXP(-M190))</f>
        <v>0.247041733387494</v>
      </c>
      <c r="O190" s="6" t="n">
        <f aca="false">IF(L190=1,N190,1-N190)</f>
        <v>0.752958266612506</v>
      </c>
      <c r="P190" s="6" t="n">
        <f aca="false">LN(O190)</f>
        <v>-0.283745475543503</v>
      </c>
      <c r="AD190" s="8" t="n">
        <f aca="false">B190</f>
        <v>28</v>
      </c>
      <c r="AE190" s="8" t="n">
        <f aca="false">C190</f>
        <v>61900</v>
      </c>
      <c r="AF190" s="8" t="n">
        <f aca="false">D190</f>
        <v>2</v>
      </c>
      <c r="AG190" s="9" t="n">
        <f aca="false">E190*0.85</f>
        <v>30.957</v>
      </c>
      <c r="AH190" s="9" t="n">
        <f aca="false">F190*0.9</f>
        <v>0</v>
      </c>
      <c r="AI190" s="9" t="n">
        <f aca="false">G190</f>
        <v>0.32</v>
      </c>
      <c r="AJ190" s="9" t="n">
        <f aca="false">H190*1.2</f>
        <v>112.8</v>
      </c>
      <c r="AK190" s="8" t="n">
        <f aca="false">I190</f>
        <v>1</v>
      </c>
      <c r="AL190" s="8" t="n">
        <f aca="false">J190</f>
        <v>0</v>
      </c>
      <c r="AM190" s="9" t="n">
        <f aca="false">K190</f>
        <v>0.3</v>
      </c>
      <c r="AN190" s="6" t="n">
        <f aca="false">$R$2 + SUMPRODUCT(AD190:AM190,$S$2:$AB$2)</f>
        <v>-1.296087399</v>
      </c>
      <c r="AO190" s="6" t="n">
        <f aca="false">1/(1+EXP(-AN190))</f>
        <v>0.214824237702719</v>
      </c>
    </row>
    <row r="191" customFormat="false" ht="15" hidden="false" customHeight="false" outlineLevel="0" collapsed="false">
      <c r="A191" s="3" t="s">
        <v>255</v>
      </c>
      <c r="B191" s="4" t="n">
        <v>45</v>
      </c>
      <c r="C191" s="4" t="n">
        <v>54400</v>
      </c>
      <c r="D191" s="4" t="n">
        <v>6</v>
      </c>
      <c r="E191" s="5" t="n">
        <v>85.5</v>
      </c>
      <c r="F191" s="4" t="n">
        <v>4</v>
      </c>
      <c r="G191" s="5" t="n">
        <v>0.69</v>
      </c>
      <c r="H191" s="4" t="n">
        <v>179</v>
      </c>
      <c r="I191" s="4" t="n">
        <v>0</v>
      </c>
      <c r="J191" s="4" t="n">
        <v>1</v>
      </c>
      <c r="K191" s="5" t="n">
        <v>0.13</v>
      </c>
      <c r="L191" s="4" t="n">
        <v>0</v>
      </c>
      <c r="M191" s="6" t="n">
        <f aca="false">$R$2 + SUMPRODUCT(B191:K191,$S$2:$AB$2)</f>
        <v>0.22884978</v>
      </c>
      <c r="N191" s="6" t="n">
        <f aca="false">1/(1+EXP(-M191))</f>
        <v>0.556964050577418</v>
      </c>
      <c r="O191" s="6" t="n">
        <f aca="false">IF(L191=1,N191,1-N191)</f>
        <v>0.443035949422582</v>
      </c>
      <c r="P191" s="6" t="n">
        <f aca="false">LN(O191)</f>
        <v>-0.814104362291371</v>
      </c>
      <c r="AD191" s="8" t="n">
        <f aca="false">B191</f>
        <v>45</v>
      </c>
      <c r="AE191" s="8" t="n">
        <f aca="false">C191</f>
        <v>54400</v>
      </c>
      <c r="AF191" s="8" t="n">
        <f aca="false">D191</f>
        <v>6</v>
      </c>
      <c r="AG191" s="9" t="n">
        <f aca="false">E191*0.85</f>
        <v>72.675</v>
      </c>
      <c r="AH191" s="9" t="n">
        <f aca="false">F191*0.9</f>
        <v>3.6</v>
      </c>
      <c r="AI191" s="9" t="n">
        <f aca="false">G191</f>
        <v>0.69</v>
      </c>
      <c r="AJ191" s="9" t="n">
        <f aca="false">H191*1.2</f>
        <v>214.8</v>
      </c>
      <c r="AK191" s="8" t="n">
        <f aca="false">I191</f>
        <v>0</v>
      </c>
      <c r="AL191" s="8" t="n">
        <f aca="false">J191</f>
        <v>1</v>
      </c>
      <c r="AM191" s="9" t="n">
        <f aca="false">K191</f>
        <v>0.13</v>
      </c>
      <c r="AN191" s="6" t="n">
        <f aca="false">$R$2 + SUMPRODUCT(AD191:AM191,$S$2:$AB$2)</f>
        <v>-0.195990045</v>
      </c>
      <c r="AO191" s="6" t="n">
        <f aca="false">1/(1+EXP(-AN191))</f>
        <v>0.4511587300544</v>
      </c>
    </row>
    <row r="192" customFormat="false" ht="15" hidden="false" customHeight="false" outlineLevel="0" collapsed="false">
      <c r="A192" s="3" t="s">
        <v>256</v>
      </c>
      <c r="B192" s="4" t="n">
        <v>42</v>
      </c>
      <c r="C192" s="4" t="n">
        <v>17800</v>
      </c>
      <c r="D192" s="4" t="n">
        <v>8</v>
      </c>
      <c r="E192" s="5" t="n">
        <v>63.38</v>
      </c>
      <c r="F192" s="4" t="n">
        <v>3</v>
      </c>
      <c r="G192" s="5" t="n">
        <v>0.2</v>
      </c>
      <c r="H192" s="4" t="n">
        <v>47</v>
      </c>
      <c r="I192" s="4" t="n">
        <v>0</v>
      </c>
      <c r="J192" s="4" t="n">
        <v>0</v>
      </c>
      <c r="K192" s="5" t="n">
        <v>0.27</v>
      </c>
      <c r="L192" s="4" t="n">
        <v>1</v>
      </c>
      <c r="M192" s="6" t="n">
        <f aca="false">$R$2 + SUMPRODUCT(B192:K192,$S$2:$AB$2)</f>
        <v>-1.13266035</v>
      </c>
      <c r="N192" s="6" t="n">
        <f aca="false">1/(1+EXP(-M192))</f>
        <v>0.24367047695477</v>
      </c>
      <c r="O192" s="6" t="n">
        <f aca="false">IF(L192=1,N192,1-N192)</f>
        <v>0.24367047695477</v>
      </c>
      <c r="P192" s="6" t="n">
        <f aca="false">LN(O192)</f>
        <v>-1.41193847072545</v>
      </c>
      <c r="AD192" s="8" t="n">
        <f aca="false">B192</f>
        <v>42</v>
      </c>
      <c r="AE192" s="8" t="n">
        <f aca="false">C192</f>
        <v>17800</v>
      </c>
      <c r="AF192" s="8" t="n">
        <f aca="false">D192</f>
        <v>8</v>
      </c>
      <c r="AG192" s="9" t="n">
        <f aca="false">E192*0.85</f>
        <v>53.873</v>
      </c>
      <c r="AH192" s="9" t="n">
        <f aca="false">F192*0.9</f>
        <v>2.7</v>
      </c>
      <c r="AI192" s="9" t="n">
        <f aca="false">G192</f>
        <v>0.2</v>
      </c>
      <c r="AJ192" s="9" t="n">
        <f aca="false">H192*1.2</f>
        <v>56.4</v>
      </c>
      <c r="AK192" s="8" t="n">
        <f aca="false">I192</f>
        <v>0</v>
      </c>
      <c r="AL192" s="8" t="n">
        <f aca="false">J192</f>
        <v>0</v>
      </c>
      <c r="AM192" s="9" t="n">
        <f aca="false">K192</f>
        <v>0.27</v>
      </c>
      <c r="AN192" s="6" t="n">
        <f aca="false">$R$2 + SUMPRODUCT(AD192:AM192,$S$2:$AB$2)</f>
        <v>-1.349311981</v>
      </c>
      <c r="AO192" s="6" t="n">
        <f aca="false">1/(1+EXP(-AN192))</f>
        <v>0.205982877250271</v>
      </c>
    </row>
    <row r="193" customFormat="false" ht="15" hidden="false" customHeight="false" outlineLevel="0" collapsed="false">
      <c r="A193" s="3" t="s">
        <v>257</v>
      </c>
      <c r="B193" s="4" t="n">
        <v>56</v>
      </c>
      <c r="C193" s="4" t="n">
        <v>53400</v>
      </c>
      <c r="D193" s="4" t="n">
        <v>7</v>
      </c>
      <c r="E193" s="5" t="n">
        <v>66.82</v>
      </c>
      <c r="F193" s="4" t="n">
        <v>5</v>
      </c>
      <c r="G193" s="5" t="n">
        <v>0.57</v>
      </c>
      <c r="H193" s="4" t="n">
        <v>282</v>
      </c>
      <c r="I193" s="4" t="n">
        <v>0</v>
      </c>
      <c r="J193" s="4" t="n">
        <v>1</v>
      </c>
      <c r="K193" s="5" t="n">
        <v>0.32</v>
      </c>
      <c r="L193" s="4" t="n">
        <v>0</v>
      </c>
      <c r="M193" s="6" t="n">
        <f aca="false">$R$2 + SUMPRODUCT(B193:K193,$S$2:$AB$2)</f>
        <v>-0.44156791</v>
      </c>
      <c r="N193" s="6" t="n">
        <f aca="false">1/(1+EXP(-M193))</f>
        <v>0.391367431167532</v>
      </c>
      <c r="O193" s="6" t="n">
        <f aca="false">IF(L193=1,N193,1-N193)</f>
        <v>0.608632568832468</v>
      </c>
      <c r="P193" s="6" t="n">
        <f aca="false">LN(O193)</f>
        <v>-0.496540528602655</v>
      </c>
      <c r="AD193" s="8" t="n">
        <f aca="false">B193</f>
        <v>56</v>
      </c>
      <c r="AE193" s="8" t="n">
        <f aca="false">C193</f>
        <v>53400</v>
      </c>
      <c r="AF193" s="8" t="n">
        <f aca="false">D193</f>
        <v>7</v>
      </c>
      <c r="AG193" s="9" t="n">
        <f aca="false">E193*0.85</f>
        <v>56.797</v>
      </c>
      <c r="AH193" s="9" t="n">
        <f aca="false">F193*0.9</f>
        <v>4.5</v>
      </c>
      <c r="AI193" s="9" t="n">
        <f aca="false">G193</f>
        <v>0.57</v>
      </c>
      <c r="AJ193" s="9" t="n">
        <f aca="false">H193*1.2</f>
        <v>338.4</v>
      </c>
      <c r="AK193" s="8" t="n">
        <f aca="false">I193</f>
        <v>0</v>
      </c>
      <c r="AL193" s="8" t="n">
        <f aca="false">J193</f>
        <v>1</v>
      </c>
      <c r="AM193" s="9" t="n">
        <f aca="false">K193</f>
        <v>0.32</v>
      </c>
      <c r="AN193" s="6" t="n">
        <f aca="false">$R$2 + SUMPRODUCT(AD193:AM193,$S$2:$AB$2)</f>
        <v>-0.958989569</v>
      </c>
      <c r="AO193" s="6" t="n">
        <f aca="false">1/(1+EXP(-AN193))</f>
        <v>0.27708054559826</v>
      </c>
    </row>
    <row r="194" customFormat="false" ht="15" hidden="false" customHeight="false" outlineLevel="0" collapsed="false">
      <c r="A194" s="3" t="s">
        <v>258</v>
      </c>
      <c r="B194" s="4" t="n">
        <v>50</v>
      </c>
      <c r="C194" s="4" t="n">
        <v>31500</v>
      </c>
      <c r="D194" s="4" t="n">
        <v>3</v>
      </c>
      <c r="E194" s="5" t="n">
        <v>66.83</v>
      </c>
      <c r="F194" s="4" t="n">
        <v>3</v>
      </c>
      <c r="G194" s="5" t="n">
        <v>0.33</v>
      </c>
      <c r="H194" s="4" t="n">
        <v>340</v>
      </c>
      <c r="I194" s="4" t="n">
        <v>0</v>
      </c>
      <c r="J194" s="4" t="n">
        <v>1</v>
      </c>
      <c r="K194" s="5" t="n">
        <v>0.34</v>
      </c>
      <c r="L194" s="4" t="n">
        <v>0</v>
      </c>
      <c r="M194" s="6" t="n">
        <f aca="false">$R$2 + SUMPRODUCT(B194:K194,$S$2:$AB$2)</f>
        <v>-2.57163396</v>
      </c>
      <c r="N194" s="6" t="n">
        <f aca="false">1/(1+EXP(-M194))</f>
        <v>0.0709864731162531</v>
      </c>
      <c r="O194" s="6" t="n">
        <f aca="false">IF(L194=1,N194,1-N194)</f>
        <v>0.929013526883747</v>
      </c>
      <c r="P194" s="6" t="n">
        <f aca="false">LN(O194)</f>
        <v>-0.0736319795813583</v>
      </c>
      <c r="AD194" s="8" t="n">
        <f aca="false">B194</f>
        <v>50</v>
      </c>
      <c r="AE194" s="8" t="n">
        <f aca="false">C194</f>
        <v>31500</v>
      </c>
      <c r="AF194" s="8" t="n">
        <f aca="false">D194</f>
        <v>3</v>
      </c>
      <c r="AG194" s="9" t="n">
        <f aca="false">E194*0.85</f>
        <v>56.8055</v>
      </c>
      <c r="AH194" s="9" t="n">
        <f aca="false">F194*0.9</f>
        <v>2.7</v>
      </c>
      <c r="AI194" s="9" t="n">
        <f aca="false">G194</f>
        <v>0.33</v>
      </c>
      <c r="AJ194" s="9" t="n">
        <f aca="false">H194*1.2</f>
        <v>408</v>
      </c>
      <c r="AK194" s="8" t="n">
        <f aca="false">I194</f>
        <v>0</v>
      </c>
      <c r="AL194" s="8" t="n">
        <f aca="false">J194</f>
        <v>1</v>
      </c>
      <c r="AM194" s="9" t="n">
        <f aca="false">K194</f>
        <v>0.34</v>
      </c>
      <c r="AN194" s="6" t="n">
        <f aca="false">$R$2 + SUMPRODUCT(AD194:AM194,$S$2:$AB$2)</f>
        <v>-3.1326559685</v>
      </c>
      <c r="AO194" s="6" t="n">
        <f aca="false">1/(1+EXP(-AN194))</f>
        <v>0.0417801470095622</v>
      </c>
    </row>
    <row r="195" customFormat="false" ht="15" hidden="false" customHeight="false" outlineLevel="0" collapsed="false">
      <c r="A195" s="3" t="s">
        <v>259</v>
      </c>
      <c r="B195" s="4" t="n">
        <v>18</v>
      </c>
      <c r="C195" s="4" t="n">
        <v>67100</v>
      </c>
      <c r="D195" s="4" t="n">
        <v>3</v>
      </c>
      <c r="E195" s="5" t="n">
        <v>61.24</v>
      </c>
      <c r="F195" s="4" t="n">
        <v>4</v>
      </c>
      <c r="G195" s="5" t="n">
        <v>0.3</v>
      </c>
      <c r="H195" s="4" t="n">
        <v>362</v>
      </c>
      <c r="I195" s="4" t="n">
        <v>0</v>
      </c>
      <c r="J195" s="4" t="n">
        <v>0</v>
      </c>
      <c r="K195" s="5" t="n">
        <v>0.52</v>
      </c>
      <c r="L195" s="4" t="n">
        <v>0</v>
      </c>
      <c r="M195" s="6" t="n">
        <f aca="false">$R$2 + SUMPRODUCT(B195:K195,$S$2:$AB$2)</f>
        <v>-1.94345962</v>
      </c>
      <c r="N195" s="6" t="n">
        <f aca="false">1/(1+EXP(-M195))</f>
        <v>0.125268273010227</v>
      </c>
      <c r="O195" s="6" t="n">
        <f aca="false">IF(L195=1,N195,1-N195)</f>
        <v>0.874731726989773</v>
      </c>
      <c r="P195" s="6" t="n">
        <f aca="false">LN(O195)</f>
        <v>-0.133838037361188</v>
      </c>
      <c r="AD195" s="8" t="n">
        <f aca="false">B195</f>
        <v>18</v>
      </c>
      <c r="AE195" s="8" t="n">
        <f aca="false">C195</f>
        <v>67100</v>
      </c>
      <c r="AF195" s="8" t="n">
        <f aca="false">D195</f>
        <v>3</v>
      </c>
      <c r="AG195" s="9" t="n">
        <f aca="false">E195*0.85</f>
        <v>52.054</v>
      </c>
      <c r="AH195" s="9" t="n">
        <f aca="false">F195*0.9</f>
        <v>3.6</v>
      </c>
      <c r="AI195" s="9" t="n">
        <f aca="false">G195</f>
        <v>0.3</v>
      </c>
      <c r="AJ195" s="9" t="n">
        <f aca="false">H195*1.2</f>
        <v>434.4</v>
      </c>
      <c r="AK195" s="8" t="n">
        <f aca="false">I195</f>
        <v>0</v>
      </c>
      <c r="AL195" s="8" t="n">
        <f aca="false">J195</f>
        <v>0</v>
      </c>
      <c r="AM195" s="9" t="n">
        <f aca="false">K195</f>
        <v>0.52</v>
      </c>
      <c r="AN195" s="6" t="n">
        <f aca="false">$R$2 + SUMPRODUCT(AD195:AM195,$S$2:$AB$2)</f>
        <v>-2.530159558</v>
      </c>
      <c r="AO195" s="6" t="n">
        <f aca="false">1/(1+EXP(-AN195))</f>
        <v>0.0737707434828942</v>
      </c>
    </row>
    <row r="196" customFormat="false" ht="15" hidden="false" customHeight="false" outlineLevel="0" collapsed="false">
      <c r="A196" s="3" t="s">
        <v>260</v>
      </c>
      <c r="B196" s="4" t="n">
        <v>44</v>
      </c>
      <c r="C196" s="4" t="n">
        <v>61600</v>
      </c>
      <c r="D196" s="4" t="n">
        <v>6</v>
      </c>
      <c r="E196" s="5" t="n">
        <v>94.79</v>
      </c>
      <c r="F196" s="4" t="n">
        <v>6</v>
      </c>
      <c r="G196" s="5" t="n">
        <v>0.38</v>
      </c>
      <c r="H196" s="4" t="n">
        <v>92</v>
      </c>
      <c r="I196" s="4" t="n">
        <v>1</v>
      </c>
      <c r="J196" s="4" t="n">
        <v>0</v>
      </c>
      <c r="K196" s="5" t="n">
        <v>0.09</v>
      </c>
      <c r="L196" s="4" t="n">
        <v>1</v>
      </c>
      <c r="M196" s="6" t="n">
        <f aca="false">$R$2 + SUMPRODUCT(B196:K196,$S$2:$AB$2)</f>
        <v>0.801931020000001</v>
      </c>
      <c r="N196" s="6" t="n">
        <f aca="false">1/(1+EXP(-M196))</f>
        <v>0.690387393426865</v>
      </c>
      <c r="O196" s="6" t="n">
        <f aca="false">IF(L196=1,N196,1-N196)</f>
        <v>0.690387393426865</v>
      </c>
      <c r="P196" s="6" t="n">
        <f aca="false">LN(O196)</f>
        <v>-0.370502399190082</v>
      </c>
      <c r="AD196" s="8" t="n">
        <f aca="false">B196</f>
        <v>44</v>
      </c>
      <c r="AE196" s="8" t="n">
        <f aca="false">C196</f>
        <v>61600</v>
      </c>
      <c r="AF196" s="8" t="n">
        <f aca="false">D196</f>
        <v>6</v>
      </c>
      <c r="AG196" s="9" t="n">
        <f aca="false">E196*0.85</f>
        <v>80.5715</v>
      </c>
      <c r="AH196" s="9" t="n">
        <f aca="false">F196*0.9</f>
        <v>5.4</v>
      </c>
      <c r="AI196" s="9" t="n">
        <f aca="false">G196</f>
        <v>0.38</v>
      </c>
      <c r="AJ196" s="9" t="n">
        <f aca="false">H196*1.2</f>
        <v>110.4</v>
      </c>
      <c r="AK196" s="8" t="n">
        <f aca="false">I196</f>
        <v>1</v>
      </c>
      <c r="AL196" s="8" t="n">
        <f aca="false">J196</f>
        <v>0</v>
      </c>
      <c r="AM196" s="9" t="n">
        <f aca="false">K196</f>
        <v>0.09</v>
      </c>
      <c r="AN196" s="6" t="n">
        <f aca="false">$R$2 + SUMPRODUCT(AD196:AM196,$S$2:$AB$2)</f>
        <v>0.435348909500001</v>
      </c>
      <c r="AO196" s="6" t="n">
        <f aca="false">1/(1+EXP(-AN196))</f>
        <v>0.607150212668659</v>
      </c>
    </row>
    <row r="197" customFormat="false" ht="15" hidden="false" customHeight="false" outlineLevel="0" collapsed="false">
      <c r="A197" s="3" t="s">
        <v>261</v>
      </c>
      <c r="B197" s="4" t="n">
        <v>69</v>
      </c>
      <c r="C197" s="4" t="n">
        <v>38100</v>
      </c>
      <c r="D197" s="4" t="n">
        <v>3</v>
      </c>
      <c r="E197" s="5" t="n">
        <v>62.91</v>
      </c>
      <c r="F197" s="4" t="n">
        <v>3</v>
      </c>
      <c r="G197" s="5" t="n">
        <v>0.61</v>
      </c>
      <c r="H197" s="4" t="n">
        <v>212</v>
      </c>
      <c r="I197" s="4" t="n">
        <v>0</v>
      </c>
      <c r="J197" s="4" t="n">
        <v>1</v>
      </c>
      <c r="K197" s="5" t="n">
        <v>0.3</v>
      </c>
      <c r="L197" s="4" t="n">
        <v>0</v>
      </c>
      <c r="M197" s="6" t="n">
        <f aca="false">$R$2 + SUMPRODUCT(B197:K197,$S$2:$AB$2)</f>
        <v>-1.53772976</v>
      </c>
      <c r="N197" s="6" t="n">
        <f aca="false">1/(1+EXP(-M197))</f>
        <v>0.176865543253791</v>
      </c>
      <c r="O197" s="6" t="n">
        <f aca="false">IF(L197=1,N197,1-N197)</f>
        <v>0.823134456746209</v>
      </c>
      <c r="P197" s="6" t="n">
        <f aca="false">LN(O197)</f>
        <v>-0.194635717716925</v>
      </c>
      <c r="AD197" s="8" t="n">
        <f aca="false">B197</f>
        <v>69</v>
      </c>
      <c r="AE197" s="8" t="n">
        <f aca="false">C197</f>
        <v>38100</v>
      </c>
      <c r="AF197" s="8" t="n">
        <f aca="false">D197</f>
        <v>3</v>
      </c>
      <c r="AG197" s="9" t="n">
        <f aca="false">E197*0.85</f>
        <v>53.4735</v>
      </c>
      <c r="AH197" s="9" t="n">
        <f aca="false">F197*0.9</f>
        <v>2.7</v>
      </c>
      <c r="AI197" s="9" t="n">
        <f aca="false">G197</f>
        <v>0.61</v>
      </c>
      <c r="AJ197" s="9" t="n">
        <f aca="false">H197*1.2</f>
        <v>254.4</v>
      </c>
      <c r="AK197" s="8" t="n">
        <f aca="false">I197</f>
        <v>0</v>
      </c>
      <c r="AL197" s="8" t="n">
        <f aca="false">J197</f>
        <v>1</v>
      </c>
      <c r="AM197" s="9" t="n">
        <f aca="false">K197</f>
        <v>0.3</v>
      </c>
      <c r="AN197" s="6" t="n">
        <f aca="false">$R$2 + SUMPRODUCT(AD197:AM197,$S$2:$AB$2)</f>
        <v>-1.9434483645</v>
      </c>
      <c r="AO197" s="6" t="n">
        <f aca="false">1/(1+EXP(-AN197))</f>
        <v>0.125269506349592</v>
      </c>
    </row>
    <row r="198" customFormat="false" ht="15" hidden="false" customHeight="false" outlineLevel="0" collapsed="false">
      <c r="A198" s="3" t="s">
        <v>262</v>
      </c>
      <c r="B198" s="4" t="n">
        <v>30</v>
      </c>
      <c r="C198" s="4" t="n">
        <v>45800</v>
      </c>
      <c r="D198" s="4" t="n">
        <v>6</v>
      </c>
      <c r="E198" s="5" t="n">
        <v>37.01</v>
      </c>
      <c r="F198" s="4" t="n">
        <v>3</v>
      </c>
      <c r="G198" s="5" t="n">
        <v>0.16</v>
      </c>
      <c r="H198" s="4" t="n">
        <v>75</v>
      </c>
      <c r="I198" s="4" t="n">
        <v>1</v>
      </c>
      <c r="J198" s="4" t="n">
        <v>0</v>
      </c>
      <c r="K198" s="5" t="n">
        <v>0.39</v>
      </c>
      <c r="L198" s="4" t="n">
        <v>0</v>
      </c>
      <c r="M198" s="6" t="n">
        <f aca="false">$R$2 + SUMPRODUCT(B198:K198,$S$2:$AB$2)</f>
        <v>-0.44793044</v>
      </c>
      <c r="N198" s="6" t="n">
        <f aca="false">1/(1+EXP(-M198))</f>
        <v>0.389852935002341</v>
      </c>
      <c r="O198" s="6" t="n">
        <f aca="false">IF(L198=1,N198,1-N198)</f>
        <v>0.610147064997659</v>
      </c>
      <c r="P198" s="6" t="n">
        <f aca="false">LN(O198)</f>
        <v>-0.494055260712246</v>
      </c>
      <c r="AD198" s="8" t="n">
        <f aca="false">B198</f>
        <v>30</v>
      </c>
      <c r="AE198" s="8" t="n">
        <f aca="false">C198</f>
        <v>45800</v>
      </c>
      <c r="AF198" s="8" t="n">
        <f aca="false">D198</f>
        <v>6</v>
      </c>
      <c r="AG198" s="9" t="n">
        <f aca="false">E198*0.85</f>
        <v>31.4585</v>
      </c>
      <c r="AH198" s="9" t="n">
        <f aca="false">F198*0.9</f>
        <v>2.7</v>
      </c>
      <c r="AI198" s="9" t="n">
        <f aca="false">G198</f>
        <v>0.16</v>
      </c>
      <c r="AJ198" s="9" t="n">
        <f aca="false">H198*1.2</f>
        <v>90</v>
      </c>
      <c r="AK198" s="8" t="n">
        <f aca="false">I198</f>
        <v>1</v>
      </c>
      <c r="AL198" s="8" t="n">
        <f aca="false">J198</f>
        <v>0</v>
      </c>
      <c r="AM198" s="9" t="n">
        <f aca="false">K198</f>
        <v>0.39</v>
      </c>
      <c r="AN198" s="6" t="n">
        <f aca="false">$R$2 + SUMPRODUCT(AD198:AM198,$S$2:$AB$2)</f>
        <v>-0.6436926395</v>
      </c>
      <c r="AO198" s="6" t="n">
        <f aca="false">1/(1+EXP(-AN198))</f>
        <v>0.344412290867197</v>
      </c>
    </row>
    <row r="199" customFormat="false" ht="15" hidden="false" customHeight="false" outlineLevel="0" collapsed="false">
      <c r="A199" s="3" t="s">
        <v>263</v>
      </c>
      <c r="B199" s="4" t="n">
        <v>58</v>
      </c>
      <c r="C199" s="4" t="n">
        <v>35900</v>
      </c>
      <c r="D199" s="4" t="n">
        <v>7</v>
      </c>
      <c r="E199" s="5" t="n">
        <v>55.16</v>
      </c>
      <c r="F199" s="4" t="n">
        <v>4</v>
      </c>
      <c r="G199" s="5" t="n">
        <v>0.19</v>
      </c>
      <c r="H199" s="4" t="n">
        <v>202</v>
      </c>
      <c r="I199" s="4" t="n">
        <v>1</v>
      </c>
      <c r="J199" s="4" t="n">
        <v>0</v>
      </c>
      <c r="K199" s="5" t="n">
        <v>0.44</v>
      </c>
      <c r="L199" s="4" t="n">
        <v>0</v>
      </c>
      <c r="M199" s="6" t="n">
        <f aca="false">$R$2 + SUMPRODUCT(B199:K199,$S$2:$AB$2)</f>
        <v>-1.07435771</v>
      </c>
      <c r="N199" s="6" t="n">
        <f aca="false">1/(1+EXP(-M199))</f>
        <v>0.254575251908457</v>
      </c>
      <c r="O199" s="6" t="n">
        <f aca="false">IF(L199=1,N199,1-N199)</f>
        <v>0.745424748091543</v>
      </c>
      <c r="P199" s="6" t="n">
        <f aca="false">LN(O199)</f>
        <v>-0.293801091399388</v>
      </c>
      <c r="AD199" s="8" t="n">
        <f aca="false">B199</f>
        <v>58</v>
      </c>
      <c r="AE199" s="8" t="n">
        <f aca="false">C199</f>
        <v>35900</v>
      </c>
      <c r="AF199" s="8" t="n">
        <f aca="false">D199</f>
        <v>7</v>
      </c>
      <c r="AG199" s="9" t="n">
        <f aca="false">E199*0.85</f>
        <v>46.886</v>
      </c>
      <c r="AH199" s="9" t="n">
        <f aca="false">F199*0.9</f>
        <v>3.6</v>
      </c>
      <c r="AI199" s="9" t="n">
        <f aca="false">G199</f>
        <v>0.19</v>
      </c>
      <c r="AJ199" s="9" t="n">
        <f aca="false">H199*1.2</f>
        <v>242.4</v>
      </c>
      <c r="AK199" s="8" t="n">
        <f aca="false">I199</f>
        <v>1</v>
      </c>
      <c r="AL199" s="8" t="n">
        <f aca="false">J199</f>
        <v>0</v>
      </c>
      <c r="AM199" s="9" t="n">
        <f aca="false">K199</f>
        <v>0.44</v>
      </c>
      <c r="AN199" s="6" t="n">
        <f aca="false">$R$2 + SUMPRODUCT(AD199:AM199,$S$2:$AB$2)</f>
        <v>-1.464550752</v>
      </c>
      <c r="AO199" s="6" t="n">
        <f aca="false">1/(1+EXP(-AN199))</f>
        <v>0.187772286123243</v>
      </c>
    </row>
    <row r="200" customFormat="false" ht="15" hidden="false" customHeight="false" outlineLevel="0" collapsed="false">
      <c r="A200" s="3" t="s">
        <v>264</v>
      </c>
      <c r="B200" s="4" t="n">
        <v>20</v>
      </c>
      <c r="C200" s="4" t="n">
        <v>53900</v>
      </c>
      <c r="D200" s="4" t="n">
        <v>2</v>
      </c>
      <c r="E200" s="5" t="n">
        <v>69.47</v>
      </c>
      <c r="F200" s="4" t="n">
        <v>5</v>
      </c>
      <c r="G200" s="5" t="n">
        <v>0.35</v>
      </c>
      <c r="H200" s="4" t="n">
        <v>297</v>
      </c>
      <c r="I200" s="4" t="n">
        <v>0</v>
      </c>
      <c r="J200" s="4" t="n">
        <v>0</v>
      </c>
      <c r="K200" s="5" t="n">
        <v>0.18</v>
      </c>
      <c r="L200" s="4" t="n">
        <v>0</v>
      </c>
      <c r="M200" s="6" t="n">
        <f aca="false">$R$2 + SUMPRODUCT(B200:K200,$S$2:$AB$2)</f>
        <v>-2.1631457</v>
      </c>
      <c r="N200" s="6" t="n">
        <f aca="false">1/(1+EXP(-M200))</f>
        <v>0.103109181016375</v>
      </c>
      <c r="O200" s="6" t="n">
        <f aca="false">IF(L200=1,N200,1-N200)</f>
        <v>0.896890818983625</v>
      </c>
      <c r="P200" s="6" t="n">
        <f aca="false">LN(O200)</f>
        <v>-0.108821142298547</v>
      </c>
      <c r="AD200" s="8" t="n">
        <f aca="false">B200</f>
        <v>20</v>
      </c>
      <c r="AE200" s="8" t="n">
        <f aca="false">C200</f>
        <v>53900</v>
      </c>
      <c r="AF200" s="8" t="n">
        <f aca="false">D200</f>
        <v>2</v>
      </c>
      <c r="AG200" s="9" t="n">
        <f aca="false">E200*0.85</f>
        <v>59.0495</v>
      </c>
      <c r="AH200" s="9" t="n">
        <f aca="false">F200*0.9</f>
        <v>4.5</v>
      </c>
      <c r="AI200" s="9" t="n">
        <f aca="false">G200</f>
        <v>0.35</v>
      </c>
      <c r="AJ200" s="9" t="n">
        <f aca="false">H200*1.2</f>
        <v>356.4</v>
      </c>
      <c r="AK200" s="8" t="n">
        <f aca="false">I200</f>
        <v>0</v>
      </c>
      <c r="AL200" s="8" t="n">
        <f aca="false">J200</f>
        <v>0</v>
      </c>
      <c r="AM200" s="9" t="n">
        <f aca="false">K200</f>
        <v>0.18</v>
      </c>
      <c r="AN200" s="6" t="n">
        <f aca="false">$R$2 + SUMPRODUCT(AD200:AM200,$S$2:$AB$2)</f>
        <v>-2.7031809765</v>
      </c>
      <c r="AO200" s="6" t="n">
        <f aca="false">1/(1+EXP(-AN200))</f>
        <v>0.0627859146440276</v>
      </c>
    </row>
    <row r="201" customFormat="false" ht="15" hidden="false" customHeight="false" outlineLevel="0" collapsed="false">
      <c r="A201" s="3" t="s">
        <v>265</v>
      </c>
      <c r="B201" s="4" t="n">
        <v>56</v>
      </c>
      <c r="C201" s="4" t="n">
        <v>72200</v>
      </c>
      <c r="D201" s="4" t="n">
        <v>4</v>
      </c>
      <c r="E201" s="5" t="n">
        <v>95.73</v>
      </c>
      <c r="F201" s="4" t="n">
        <v>5</v>
      </c>
      <c r="G201" s="5" t="n">
        <v>0.51</v>
      </c>
      <c r="H201" s="4" t="n">
        <v>308</v>
      </c>
      <c r="I201" s="4" t="n">
        <v>0</v>
      </c>
      <c r="J201" s="4" t="n">
        <v>0</v>
      </c>
      <c r="K201" s="5" t="n">
        <v>0.34</v>
      </c>
      <c r="L201" s="4" t="n">
        <v>0</v>
      </c>
      <c r="M201" s="6" t="n">
        <f aca="false">$R$2 + SUMPRODUCT(B201:K201,$S$2:$AB$2)</f>
        <v>-1.04335448</v>
      </c>
      <c r="N201" s="6" t="n">
        <f aca="false">1/(1+EXP(-M201))</f>
        <v>0.260503263515046</v>
      </c>
      <c r="O201" s="6" t="n">
        <f aca="false">IF(L201=1,N201,1-N201)</f>
        <v>0.739496736484954</v>
      </c>
      <c r="P201" s="6" t="n">
        <f aca="false">LN(O201)</f>
        <v>-0.301785409978338</v>
      </c>
      <c r="AD201" s="8" t="n">
        <f aca="false">B201</f>
        <v>56</v>
      </c>
      <c r="AE201" s="8" t="n">
        <f aca="false">C201</f>
        <v>72200</v>
      </c>
      <c r="AF201" s="8" t="n">
        <f aca="false">D201</f>
        <v>4</v>
      </c>
      <c r="AG201" s="9" t="n">
        <f aca="false">E201*0.85</f>
        <v>81.3705</v>
      </c>
      <c r="AH201" s="9" t="n">
        <f aca="false">F201*0.9</f>
        <v>4.5</v>
      </c>
      <c r="AI201" s="9" t="n">
        <f aca="false">G201</f>
        <v>0.51</v>
      </c>
      <c r="AJ201" s="9" t="n">
        <f aca="false">H201*1.2</f>
        <v>369.6</v>
      </c>
      <c r="AK201" s="8" t="n">
        <f aca="false">I201</f>
        <v>0</v>
      </c>
      <c r="AL201" s="8" t="n">
        <f aca="false">J201</f>
        <v>0</v>
      </c>
      <c r="AM201" s="9" t="n">
        <f aca="false">K201</f>
        <v>0.34</v>
      </c>
      <c r="AN201" s="6" t="n">
        <f aca="false">$R$2 + SUMPRODUCT(AD201:AM201,$S$2:$AB$2)</f>
        <v>-1.6489699435</v>
      </c>
      <c r="AO201" s="6" t="n">
        <f aca="false">1/(1+EXP(-AN201))</f>
        <v>0.161248213255767</v>
      </c>
    </row>
    <row r="202" customFormat="false" ht="15" hidden="false" customHeight="false" outlineLevel="0" collapsed="false">
      <c r="A202" s="3" t="s">
        <v>266</v>
      </c>
      <c r="B202" s="4" t="n">
        <v>23</v>
      </c>
      <c r="C202" s="4" t="n">
        <v>37300</v>
      </c>
      <c r="D202" s="4" t="n">
        <v>8</v>
      </c>
      <c r="E202" s="5" t="n">
        <v>80.08</v>
      </c>
      <c r="F202" s="4" t="n">
        <v>4</v>
      </c>
      <c r="G202" s="5" t="n">
        <v>0.49</v>
      </c>
      <c r="H202" s="4" t="n">
        <v>211</v>
      </c>
      <c r="I202" s="4" t="n">
        <v>1</v>
      </c>
      <c r="J202" s="4" t="n">
        <v>0</v>
      </c>
      <c r="K202" s="5" t="n">
        <v>0.41</v>
      </c>
      <c r="L202" s="4" t="n">
        <v>0</v>
      </c>
      <c r="M202" s="6" t="n">
        <f aca="false">$R$2 + SUMPRODUCT(B202:K202,$S$2:$AB$2)</f>
        <v>0.29461696</v>
      </c>
      <c r="N202" s="6" t="n">
        <f aca="false">1/(1+EXP(-M202))</f>
        <v>0.573126063581999</v>
      </c>
      <c r="O202" s="6" t="n">
        <f aca="false">IF(L202=1,N202,1-N202)</f>
        <v>0.426873936418001</v>
      </c>
      <c r="P202" s="6" t="n">
        <f aca="false">LN(O202)</f>
        <v>-0.851266540213917</v>
      </c>
      <c r="AD202" s="8" t="n">
        <f aca="false">B202</f>
        <v>23</v>
      </c>
      <c r="AE202" s="8" t="n">
        <f aca="false">C202</f>
        <v>37300</v>
      </c>
      <c r="AF202" s="8" t="n">
        <f aca="false">D202</f>
        <v>8</v>
      </c>
      <c r="AG202" s="9" t="n">
        <f aca="false">E202*0.85</f>
        <v>68.068</v>
      </c>
      <c r="AH202" s="9" t="n">
        <f aca="false">F202*0.9</f>
        <v>3.6</v>
      </c>
      <c r="AI202" s="9" t="n">
        <f aca="false">G202</f>
        <v>0.49</v>
      </c>
      <c r="AJ202" s="9" t="n">
        <f aca="false">H202*1.2</f>
        <v>253.2</v>
      </c>
      <c r="AK202" s="8" t="n">
        <f aca="false">I202</f>
        <v>1</v>
      </c>
      <c r="AL202" s="8" t="n">
        <f aca="false">J202</f>
        <v>0</v>
      </c>
      <c r="AM202" s="9" t="n">
        <f aca="false">K202</f>
        <v>0.41</v>
      </c>
      <c r="AN202" s="6" t="n">
        <f aca="false">$R$2 + SUMPRODUCT(AD202:AM202,$S$2:$AB$2)</f>
        <v>-0.156153036</v>
      </c>
      <c r="AO202" s="6" t="n">
        <f aca="false">1/(1+EXP(-AN202))</f>
        <v>0.461040873048005</v>
      </c>
    </row>
    <row r="203" customFormat="false" ht="15" hidden="false" customHeight="false" outlineLevel="0" collapsed="false">
      <c r="A203" s="3" t="s">
        <v>267</v>
      </c>
      <c r="B203" s="4" t="n">
        <v>25</v>
      </c>
      <c r="C203" s="4" t="n">
        <v>64100</v>
      </c>
      <c r="D203" s="4" t="n">
        <v>9</v>
      </c>
      <c r="E203" s="5" t="n">
        <v>43.74</v>
      </c>
      <c r="F203" s="4" t="n">
        <v>8</v>
      </c>
      <c r="G203" s="5" t="n">
        <v>0.27</v>
      </c>
      <c r="H203" s="4" t="n">
        <v>338</v>
      </c>
      <c r="I203" s="4" t="n">
        <v>1</v>
      </c>
      <c r="J203" s="4" t="n">
        <v>1</v>
      </c>
      <c r="K203" s="5" t="n">
        <v>0.18</v>
      </c>
      <c r="L203" s="4" t="n">
        <v>1</v>
      </c>
      <c r="M203" s="6" t="n">
        <f aca="false">$R$2 + SUMPRODUCT(B203:K203,$S$2:$AB$2)</f>
        <v>0.325859530000001</v>
      </c>
      <c r="N203" s="6" t="n">
        <f aca="false">1/(1+EXP(-M203))</f>
        <v>0.580751596993641</v>
      </c>
      <c r="O203" s="6" t="n">
        <f aca="false">IF(L203=1,N203,1-N203)</f>
        <v>0.580751596993641</v>
      </c>
      <c r="P203" s="6" t="n">
        <f aca="false">LN(O203)</f>
        <v>-0.543432157453969</v>
      </c>
      <c r="AD203" s="8" t="n">
        <f aca="false">B203</f>
        <v>25</v>
      </c>
      <c r="AE203" s="8" t="n">
        <f aca="false">C203</f>
        <v>64100</v>
      </c>
      <c r="AF203" s="8" t="n">
        <f aca="false">D203</f>
        <v>9</v>
      </c>
      <c r="AG203" s="9" t="n">
        <f aca="false">E203*0.85</f>
        <v>37.179</v>
      </c>
      <c r="AH203" s="9" t="n">
        <f aca="false">F203*0.9</f>
        <v>7.2</v>
      </c>
      <c r="AI203" s="9" t="n">
        <f aca="false">G203</f>
        <v>0.27</v>
      </c>
      <c r="AJ203" s="9" t="n">
        <f aca="false">H203*1.2</f>
        <v>405.6</v>
      </c>
      <c r="AK203" s="8" t="n">
        <f aca="false">I203</f>
        <v>1</v>
      </c>
      <c r="AL203" s="8" t="n">
        <f aca="false">J203</f>
        <v>1</v>
      </c>
      <c r="AM203" s="9" t="n">
        <f aca="false">K203</f>
        <v>0.18</v>
      </c>
      <c r="AN203" s="6" t="n">
        <f aca="false">$R$2 + SUMPRODUCT(AD203:AM203,$S$2:$AB$2)</f>
        <v>-0.244365583</v>
      </c>
      <c r="AO203" s="6" t="n">
        <f aca="false">1/(1+EXP(-AN203))</f>
        <v>0.43921080351611</v>
      </c>
    </row>
    <row r="204" customFormat="false" ht="15" hidden="false" customHeight="false" outlineLevel="0" collapsed="false">
      <c r="A204" s="3" t="s">
        <v>268</v>
      </c>
      <c r="B204" s="4" t="n">
        <v>44</v>
      </c>
      <c r="C204" s="4" t="n">
        <v>45500</v>
      </c>
      <c r="D204" s="4" t="n">
        <v>7</v>
      </c>
      <c r="E204" s="5" t="n">
        <v>127.13</v>
      </c>
      <c r="F204" s="4" t="n">
        <v>6</v>
      </c>
      <c r="G204" s="5" t="n">
        <v>0.59</v>
      </c>
      <c r="H204" s="4" t="n">
        <v>134</v>
      </c>
      <c r="I204" s="4" t="n">
        <v>0</v>
      </c>
      <c r="J204" s="4" t="n">
        <v>0</v>
      </c>
      <c r="K204" s="5" t="n">
        <v>0.37</v>
      </c>
      <c r="L204" s="4" t="n">
        <v>1</v>
      </c>
      <c r="M204" s="6" t="n">
        <f aca="false">$R$2 + SUMPRODUCT(B204:K204,$S$2:$AB$2)</f>
        <v>0.75400239</v>
      </c>
      <c r="N204" s="6" t="n">
        <f aca="false">1/(1+EXP(-M204))</f>
        <v>0.680050173784176</v>
      </c>
      <c r="O204" s="6" t="n">
        <f aca="false">IF(L204=1,N204,1-N204)</f>
        <v>0.680050173784176</v>
      </c>
      <c r="P204" s="6" t="n">
        <f aca="false">LN(O204)</f>
        <v>-0.385588698557233</v>
      </c>
      <c r="AD204" s="8" t="n">
        <f aca="false">B204</f>
        <v>44</v>
      </c>
      <c r="AE204" s="8" t="n">
        <f aca="false">C204</f>
        <v>45500</v>
      </c>
      <c r="AF204" s="8" t="n">
        <f aca="false">D204</f>
        <v>7</v>
      </c>
      <c r="AG204" s="9" t="n">
        <f aca="false">E204*0.85</f>
        <v>108.0605</v>
      </c>
      <c r="AH204" s="9" t="n">
        <f aca="false">F204*0.9</f>
        <v>5.4</v>
      </c>
      <c r="AI204" s="9" t="n">
        <f aca="false">G204</f>
        <v>0.59</v>
      </c>
      <c r="AJ204" s="9" t="n">
        <f aca="false">H204*1.2</f>
        <v>160.8</v>
      </c>
      <c r="AK204" s="8" t="n">
        <f aca="false">I204</f>
        <v>0</v>
      </c>
      <c r="AL204" s="8" t="n">
        <f aca="false">J204</f>
        <v>0</v>
      </c>
      <c r="AM204" s="9" t="n">
        <f aca="false">K204</f>
        <v>0.37</v>
      </c>
      <c r="AN204" s="6" t="n">
        <f aca="false">$R$2 + SUMPRODUCT(AD204:AM204,$S$2:$AB$2)</f>
        <v>0.2738895965</v>
      </c>
      <c r="AO204" s="6" t="n">
        <f aca="false">1/(1+EXP(-AN204))</f>
        <v>0.568047544905045</v>
      </c>
    </row>
    <row r="205" customFormat="false" ht="15" hidden="false" customHeight="false" outlineLevel="0" collapsed="false">
      <c r="A205" s="3" t="s">
        <v>269</v>
      </c>
      <c r="B205" s="4" t="n">
        <v>26</v>
      </c>
      <c r="C205" s="4" t="n">
        <v>40700</v>
      </c>
      <c r="D205" s="4" t="n">
        <v>4</v>
      </c>
      <c r="E205" s="5" t="n">
        <v>71.62</v>
      </c>
      <c r="F205" s="4" t="n">
        <v>4</v>
      </c>
      <c r="G205" s="5" t="n">
        <v>0.61</v>
      </c>
      <c r="H205" s="4" t="n">
        <v>330</v>
      </c>
      <c r="I205" s="4" t="n">
        <v>0</v>
      </c>
      <c r="J205" s="4" t="n">
        <v>1</v>
      </c>
      <c r="K205" s="5" t="n">
        <v>0.13</v>
      </c>
      <c r="L205" s="4" t="n">
        <v>0</v>
      </c>
      <c r="M205" s="6" t="n">
        <f aca="false">$R$2 + SUMPRODUCT(B205:K205,$S$2:$AB$2)</f>
        <v>-1.43320494</v>
      </c>
      <c r="N205" s="6" t="n">
        <f aca="false">1/(1+EXP(-M205))</f>
        <v>0.192599808581646</v>
      </c>
      <c r="O205" s="6" t="n">
        <f aca="false">IF(L205=1,N205,1-N205)</f>
        <v>0.807400191418354</v>
      </c>
      <c r="P205" s="6" t="n">
        <f aca="false">LN(O205)</f>
        <v>-0.213935833483372</v>
      </c>
      <c r="AD205" s="8" t="n">
        <f aca="false">B205</f>
        <v>26</v>
      </c>
      <c r="AE205" s="8" t="n">
        <f aca="false">C205</f>
        <v>40700</v>
      </c>
      <c r="AF205" s="8" t="n">
        <f aca="false">D205</f>
        <v>4</v>
      </c>
      <c r="AG205" s="9" t="n">
        <f aca="false">E205*0.85</f>
        <v>60.877</v>
      </c>
      <c r="AH205" s="9" t="n">
        <f aca="false">F205*0.9</f>
        <v>3.6</v>
      </c>
      <c r="AI205" s="9" t="n">
        <f aca="false">G205</f>
        <v>0.61</v>
      </c>
      <c r="AJ205" s="9" t="n">
        <f aca="false">H205*1.2</f>
        <v>396</v>
      </c>
      <c r="AK205" s="8" t="n">
        <f aca="false">I205</f>
        <v>0</v>
      </c>
      <c r="AL205" s="8" t="n">
        <f aca="false">J205</f>
        <v>1</v>
      </c>
      <c r="AM205" s="9" t="n">
        <f aca="false">K205</f>
        <v>0.13</v>
      </c>
      <c r="AN205" s="6" t="n">
        <f aca="false">$R$2 + SUMPRODUCT(AD205:AM205,$S$2:$AB$2)</f>
        <v>-2.003968859</v>
      </c>
      <c r="AO205" s="6" t="n">
        <f aca="false">1/(1+EXP(-AN205))</f>
        <v>0.11878684665905</v>
      </c>
    </row>
    <row r="206" customFormat="false" ht="15" hidden="false" customHeight="false" outlineLevel="0" collapsed="false">
      <c r="A206" s="3" t="s">
        <v>270</v>
      </c>
      <c r="B206" s="4" t="n">
        <v>54</v>
      </c>
      <c r="C206" s="4" t="n">
        <v>53100</v>
      </c>
      <c r="D206" s="4" t="n">
        <v>5</v>
      </c>
      <c r="E206" s="5" t="n">
        <v>96.88</v>
      </c>
      <c r="F206" s="4" t="n">
        <v>3</v>
      </c>
      <c r="G206" s="5" t="n">
        <v>0.26</v>
      </c>
      <c r="H206" s="4" t="n">
        <v>66</v>
      </c>
      <c r="I206" s="4" t="n">
        <v>1</v>
      </c>
      <c r="J206" s="4" t="n">
        <v>0</v>
      </c>
      <c r="K206" s="5" t="n">
        <v>0.53</v>
      </c>
      <c r="L206" s="4" t="n">
        <v>1</v>
      </c>
      <c r="M206" s="6" t="n">
        <f aca="false">$R$2 + SUMPRODUCT(B206:K206,$S$2:$AB$2)</f>
        <v>0.434967990000001</v>
      </c>
      <c r="N206" s="6" t="n">
        <f aca="false">1/(1+EXP(-M206))</f>
        <v>0.607059352487047</v>
      </c>
      <c r="O206" s="6" t="n">
        <f aca="false">IF(L206=1,N206,1-N206)</f>
        <v>0.607059352487047</v>
      </c>
      <c r="P206" s="6" t="n">
        <f aca="false">LN(O206)</f>
        <v>-0.499128712658237</v>
      </c>
      <c r="AD206" s="8" t="n">
        <f aca="false">B206</f>
        <v>54</v>
      </c>
      <c r="AE206" s="8" t="n">
        <f aca="false">C206</f>
        <v>53100</v>
      </c>
      <c r="AF206" s="8" t="n">
        <f aca="false">D206</f>
        <v>5</v>
      </c>
      <c r="AG206" s="9" t="n">
        <f aca="false">E206*0.85</f>
        <v>82.348</v>
      </c>
      <c r="AH206" s="9" t="n">
        <f aca="false">F206*0.9</f>
        <v>2.7</v>
      </c>
      <c r="AI206" s="9" t="n">
        <f aca="false">G206</f>
        <v>0.26</v>
      </c>
      <c r="AJ206" s="9" t="n">
        <f aca="false">H206*1.2</f>
        <v>79.2</v>
      </c>
      <c r="AK206" s="8" t="n">
        <f aca="false">I206</f>
        <v>1</v>
      </c>
      <c r="AL206" s="8" t="n">
        <f aca="false">J206</f>
        <v>0</v>
      </c>
      <c r="AM206" s="9" t="n">
        <f aca="false">K206</f>
        <v>0.53</v>
      </c>
      <c r="AN206" s="6" t="n">
        <f aca="false">$R$2 + SUMPRODUCT(AD206:AM206,$S$2:$AB$2)</f>
        <v>0.128935134000001</v>
      </c>
      <c r="AO206" s="6" t="n">
        <f aca="false">1/(1+EXP(-AN206))</f>
        <v>0.532189202354704</v>
      </c>
    </row>
    <row r="207" customFormat="false" ht="15" hidden="false" customHeight="false" outlineLevel="0" collapsed="false">
      <c r="A207" s="3" t="s">
        <v>271</v>
      </c>
      <c r="B207" s="4" t="n">
        <v>50</v>
      </c>
      <c r="C207" s="4" t="n">
        <v>36400</v>
      </c>
      <c r="D207" s="4" t="n">
        <v>7</v>
      </c>
      <c r="E207" s="5" t="n">
        <v>61.21</v>
      </c>
      <c r="F207" s="4" t="n">
        <v>3</v>
      </c>
      <c r="G207" s="5" t="n">
        <v>0.42</v>
      </c>
      <c r="H207" s="4" t="n">
        <v>280</v>
      </c>
      <c r="I207" s="4" t="n">
        <v>0</v>
      </c>
      <c r="J207" s="4" t="n">
        <v>1</v>
      </c>
      <c r="K207" s="5" t="n">
        <v>0.09</v>
      </c>
      <c r="L207" s="4" t="n">
        <v>0</v>
      </c>
      <c r="M207" s="6" t="n">
        <f aca="false">$R$2 + SUMPRODUCT(B207:K207,$S$2:$AB$2)</f>
        <v>-1.56918728</v>
      </c>
      <c r="N207" s="6" t="n">
        <f aca="false">1/(1+EXP(-M207))</f>
        <v>0.172332282261794</v>
      </c>
      <c r="O207" s="6" t="n">
        <f aca="false">IF(L207=1,N207,1-N207)</f>
        <v>0.827667717738206</v>
      </c>
      <c r="P207" s="6" t="n">
        <f aca="false">LN(O207)</f>
        <v>-0.189143512221574</v>
      </c>
      <c r="AD207" s="8" t="n">
        <f aca="false">B207</f>
        <v>50</v>
      </c>
      <c r="AE207" s="8" t="n">
        <f aca="false">C207</f>
        <v>36400</v>
      </c>
      <c r="AF207" s="8" t="n">
        <f aca="false">D207</f>
        <v>7</v>
      </c>
      <c r="AG207" s="9" t="n">
        <f aca="false">E207*0.85</f>
        <v>52.0285</v>
      </c>
      <c r="AH207" s="9" t="n">
        <f aca="false">F207*0.9</f>
        <v>2.7</v>
      </c>
      <c r="AI207" s="9" t="n">
        <f aca="false">G207</f>
        <v>0.42</v>
      </c>
      <c r="AJ207" s="9" t="n">
        <f aca="false">H207*1.2</f>
        <v>336</v>
      </c>
      <c r="AK207" s="8" t="n">
        <f aca="false">I207</f>
        <v>0</v>
      </c>
      <c r="AL207" s="8" t="n">
        <f aca="false">J207</f>
        <v>1</v>
      </c>
      <c r="AM207" s="9" t="n">
        <f aca="false">K207</f>
        <v>0.09</v>
      </c>
      <c r="AN207" s="6" t="n">
        <f aca="false">$R$2 + SUMPRODUCT(AD207:AM207,$S$2:$AB$2)</f>
        <v>-2.0497892695</v>
      </c>
      <c r="AO207" s="6" t="n">
        <f aca="false">1/(1+EXP(-AN207))</f>
        <v>0.114073676156081</v>
      </c>
    </row>
    <row r="208" customFormat="false" ht="15" hidden="false" customHeight="false" outlineLevel="0" collapsed="false">
      <c r="A208" s="3" t="s">
        <v>272</v>
      </c>
      <c r="B208" s="4" t="n">
        <v>68</v>
      </c>
      <c r="C208" s="4" t="n">
        <v>45000</v>
      </c>
      <c r="D208" s="4" t="n">
        <v>5</v>
      </c>
      <c r="E208" s="5" t="n">
        <v>78.33</v>
      </c>
      <c r="F208" s="4" t="n">
        <v>4</v>
      </c>
      <c r="G208" s="5" t="n">
        <v>0.31</v>
      </c>
      <c r="H208" s="4" t="n">
        <v>28</v>
      </c>
      <c r="I208" s="4" t="n">
        <v>1</v>
      </c>
      <c r="J208" s="4" t="n">
        <v>1</v>
      </c>
      <c r="K208" s="5" t="n">
        <v>0.5</v>
      </c>
      <c r="L208" s="4" t="n">
        <v>1</v>
      </c>
      <c r="M208" s="6" t="n">
        <f aca="false">$R$2 + SUMPRODUCT(B208:K208,$S$2:$AB$2)</f>
        <v>0.8508074</v>
      </c>
      <c r="N208" s="6" t="n">
        <f aca="false">1/(1+EXP(-M208))</f>
        <v>0.700736485617664</v>
      </c>
      <c r="O208" s="6" t="n">
        <f aca="false">IF(L208=1,N208,1-N208)</f>
        <v>0.700736485617664</v>
      </c>
      <c r="P208" s="6" t="n">
        <f aca="false">LN(O208)</f>
        <v>-0.355623374720548</v>
      </c>
      <c r="AD208" s="8" t="n">
        <f aca="false">B208</f>
        <v>68</v>
      </c>
      <c r="AE208" s="8" t="n">
        <f aca="false">C208</f>
        <v>45000</v>
      </c>
      <c r="AF208" s="8" t="n">
        <f aca="false">D208</f>
        <v>5</v>
      </c>
      <c r="AG208" s="9" t="n">
        <f aca="false">E208*0.85</f>
        <v>66.5805</v>
      </c>
      <c r="AH208" s="9" t="n">
        <f aca="false">F208*0.9</f>
        <v>3.6</v>
      </c>
      <c r="AI208" s="9" t="n">
        <f aca="false">G208</f>
        <v>0.31</v>
      </c>
      <c r="AJ208" s="9" t="n">
        <f aca="false">H208*1.2</f>
        <v>33.6</v>
      </c>
      <c r="AK208" s="8" t="n">
        <f aca="false">I208</f>
        <v>1</v>
      </c>
      <c r="AL208" s="8" t="n">
        <f aca="false">J208</f>
        <v>1</v>
      </c>
      <c r="AM208" s="9" t="n">
        <f aca="false">K208</f>
        <v>0.5</v>
      </c>
      <c r="AN208" s="6" t="n">
        <f aca="false">$R$2 + SUMPRODUCT(AD208:AM208,$S$2:$AB$2)</f>
        <v>0.6143063665</v>
      </c>
      <c r="AO208" s="6" t="n">
        <f aca="false">1/(1+EXP(-AN208))</f>
        <v>0.64892251554308</v>
      </c>
    </row>
    <row r="209" customFormat="false" ht="15" hidden="false" customHeight="false" outlineLevel="0" collapsed="false">
      <c r="A209" s="3" t="s">
        <v>273</v>
      </c>
      <c r="B209" s="4" t="n">
        <v>59</v>
      </c>
      <c r="C209" s="4" t="n">
        <v>33400</v>
      </c>
      <c r="D209" s="4" t="n">
        <v>2</v>
      </c>
      <c r="E209" s="5" t="n">
        <v>85.99</v>
      </c>
      <c r="F209" s="4" t="n">
        <v>4</v>
      </c>
      <c r="G209" s="5" t="n">
        <v>0.55</v>
      </c>
      <c r="H209" s="4" t="n">
        <v>117</v>
      </c>
      <c r="I209" s="4" t="n">
        <v>1</v>
      </c>
      <c r="J209" s="4" t="n">
        <v>0</v>
      </c>
      <c r="K209" s="5" t="n">
        <v>0.43</v>
      </c>
      <c r="L209" s="4" t="n">
        <v>0</v>
      </c>
      <c r="M209" s="6" t="n">
        <f aca="false">$R$2 + SUMPRODUCT(B209:K209,$S$2:$AB$2)</f>
        <v>-0.60173109</v>
      </c>
      <c r="N209" s="6" t="n">
        <f aca="false">1/(1+EXP(-M209))</f>
        <v>0.353947747597791</v>
      </c>
      <c r="O209" s="6" t="n">
        <f aca="false">IF(L209=1,N209,1-N209)</f>
        <v>0.646052252402209</v>
      </c>
      <c r="P209" s="6" t="n">
        <f aca="false">LN(O209)</f>
        <v>-0.436874892399107</v>
      </c>
      <c r="AD209" s="8" t="n">
        <f aca="false">B209</f>
        <v>59</v>
      </c>
      <c r="AE209" s="8" t="n">
        <f aca="false">C209</f>
        <v>33400</v>
      </c>
      <c r="AF209" s="8" t="n">
        <f aca="false">D209</f>
        <v>2</v>
      </c>
      <c r="AG209" s="9" t="n">
        <f aca="false">E209*0.85</f>
        <v>73.0915</v>
      </c>
      <c r="AH209" s="9" t="n">
        <f aca="false">F209*0.9</f>
        <v>3.6</v>
      </c>
      <c r="AI209" s="9" t="n">
        <f aca="false">G209</f>
        <v>0.55</v>
      </c>
      <c r="AJ209" s="9" t="n">
        <f aca="false">H209*1.2</f>
        <v>140.4</v>
      </c>
      <c r="AK209" s="8" t="n">
        <f aca="false">I209</f>
        <v>1</v>
      </c>
      <c r="AL209" s="8" t="n">
        <f aca="false">J209</f>
        <v>0</v>
      </c>
      <c r="AM209" s="9" t="n">
        <f aca="false">K209</f>
        <v>0.43</v>
      </c>
      <c r="AN209" s="6" t="n">
        <f aca="false">$R$2 + SUMPRODUCT(AD209:AM209,$S$2:$AB$2)</f>
        <v>-0.9561590405</v>
      </c>
      <c r="AO209" s="6" t="n">
        <f aca="false">1/(1+EXP(-AN209))</f>
        <v>0.277647877631457</v>
      </c>
    </row>
    <row r="210" customFormat="false" ht="15" hidden="false" customHeight="false" outlineLevel="0" collapsed="false">
      <c r="A210" s="3" t="s">
        <v>274</v>
      </c>
      <c r="B210" s="4" t="n">
        <v>61</v>
      </c>
      <c r="C210" s="4" t="n">
        <v>90400</v>
      </c>
      <c r="D210" s="4" t="n">
        <v>3</v>
      </c>
      <c r="E210" s="5" t="n">
        <v>95.45</v>
      </c>
      <c r="F210" s="4" t="n">
        <v>3</v>
      </c>
      <c r="G210" s="5" t="n">
        <v>0.15</v>
      </c>
      <c r="H210" s="4" t="n">
        <v>317</v>
      </c>
      <c r="I210" s="4" t="n">
        <v>0</v>
      </c>
      <c r="J210" s="4" t="n">
        <v>1</v>
      </c>
      <c r="K210" s="5" t="n">
        <v>0.16</v>
      </c>
      <c r="L210" s="4" t="n">
        <v>0</v>
      </c>
      <c r="M210" s="6" t="n">
        <f aca="false">$R$2 + SUMPRODUCT(B210:K210,$S$2:$AB$2)</f>
        <v>-1.32928722</v>
      </c>
      <c r="N210" s="6" t="n">
        <f aca="false">1/(1+EXP(-M210))</f>
        <v>0.20927729182435</v>
      </c>
      <c r="O210" s="6" t="n">
        <f aca="false">IF(L210=1,N210,1-N210)</f>
        <v>0.79072270817565</v>
      </c>
      <c r="P210" s="6" t="n">
        <f aca="false">LN(O210)</f>
        <v>-0.234807931238786</v>
      </c>
      <c r="AD210" s="8" t="n">
        <f aca="false">B210</f>
        <v>61</v>
      </c>
      <c r="AE210" s="8" t="n">
        <f aca="false">C210</f>
        <v>90400</v>
      </c>
      <c r="AF210" s="8" t="n">
        <f aca="false">D210</f>
        <v>3</v>
      </c>
      <c r="AG210" s="9" t="n">
        <f aca="false">E210*0.85</f>
        <v>81.1325</v>
      </c>
      <c r="AH210" s="9" t="n">
        <f aca="false">F210*0.9</f>
        <v>2.7</v>
      </c>
      <c r="AI210" s="9" t="n">
        <f aca="false">G210</f>
        <v>0.15</v>
      </c>
      <c r="AJ210" s="9" t="n">
        <f aca="false">H210*1.2</f>
        <v>380.4</v>
      </c>
      <c r="AK210" s="8" t="n">
        <f aca="false">I210</f>
        <v>0</v>
      </c>
      <c r="AL210" s="8" t="n">
        <f aca="false">J210</f>
        <v>1</v>
      </c>
      <c r="AM210" s="9" t="n">
        <f aca="false">K210</f>
        <v>0.16</v>
      </c>
      <c r="AN210" s="6" t="n">
        <f aca="false">$R$2 + SUMPRODUCT(AD210:AM210,$S$2:$AB$2)</f>
        <v>-1.9214902975</v>
      </c>
      <c r="AO210" s="6" t="n">
        <f aca="false">1/(1+EXP(-AN210))</f>
        <v>0.127695470941299</v>
      </c>
    </row>
    <row r="211" customFormat="false" ht="15" hidden="false" customHeight="false" outlineLevel="0" collapsed="false">
      <c r="A211" s="3" t="s">
        <v>275</v>
      </c>
      <c r="B211" s="4" t="n">
        <v>41</v>
      </c>
      <c r="C211" s="4" t="n">
        <v>55600</v>
      </c>
      <c r="D211" s="4" t="n">
        <v>10</v>
      </c>
      <c r="E211" s="5" t="n">
        <v>91.43</v>
      </c>
      <c r="F211" s="4" t="n">
        <v>4</v>
      </c>
      <c r="G211" s="5" t="n">
        <v>0.3</v>
      </c>
      <c r="H211" s="4" t="n">
        <v>325</v>
      </c>
      <c r="I211" s="4" t="n">
        <v>0</v>
      </c>
      <c r="J211" s="4" t="n">
        <v>1</v>
      </c>
      <c r="K211" s="5" t="n">
        <v>0.16</v>
      </c>
      <c r="L211" s="4" t="n">
        <v>1</v>
      </c>
      <c r="M211" s="6" t="n">
        <f aca="false">$R$2 + SUMPRODUCT(B211:K211,$S$2:$AB$2)</f>
        <v>-0.31228523</v>
      </c>
      <c r="N211" s="6" t="n">
        <f aca="false">1/(1+EXP(-M211))</f>
        <v>0.422557038378148</v>
      </c>
      <c r="O211" s="6" t="n">
        <f aca="false">IF(L211=1,N211,1-N211)</f>
        <v>0.422557038378148</v>
      </c>
      <c r="P211" s="6" t="n">
        <f aca="false">LN(O211)</f>
        <v>-0.861430839218413</v>
      </c>
      <c r="AD211" s="8" t="n">
        <f aca="false">B211</f>
        <v>41</v>
      </c>
      <c r="AE211" s="8" t="n">
        <f aca="false">C211</f>
        <v>55600</v>
      </c>
      <c r="AF211" s="8" t="n">
        <f aca="false">D211</f>
        <v>10</v>
      </c>
      <c r="AG211" s="9" t="n">
        <f aca="false">E211*0.85</f>
        <v>77.7155</v>
      </c>
      <c r="AH211" s="9" t="n">
        <f aca="false">F211*0.9</f>
        <v>3.6</v>
      </c>
      <c r="AI211" s="9" t="n">
        <f aca="false">G211</f>
        <v>0.3</v>
      </c>
      <c r="AJ211" s="9" t="n">
        <f aca="false">H211*1.2</f>
        <v>390</v>
      </c>
      <c r="AK211" s="8" t="n">
        <f aca="false">I211</f>
        <v>0</v>
      </c>
      <c r="AL211" s="8" t="n">
        <f aca="false">J211</f>
        <v>1</v>
      </c>
      <c r="AM211" s="9" t="n">
        <f aca="false">K211</f>
        <v>0.16</v>
      </c>
      <c r="AN211" s="6" t="n">
        <f aca="false">$R$2 + SUMPRODUCT(AD211:AM211,$S$2:$AB$2)</f>
        <v>-0.9172073085</v>
      </c>
      <c r="AO211" s="6" t="n">
        <f aca="false">1/(1+EXP(-AN211))</f>
        <v>0.285527266005531</v>
      </c>
    </row>
    <row r="212" customFormat="false" ht="15" hidden="false" customHeight="false" outlineLevel="0" collapsed="false">
      <c r="A212" s="3" t="s">
        <v>276</v>
      </c>
      <c r="B212" s="4" t="n">
        <v>32</v>
      </c>
      <c r="C212" s="4" t="n">
        <v>42400</v>
      </c>
      <c r="D212" s="4" t="n">
        <v>7</v>
      </c>
      <c r="E212" s="5" t="n">
        <v>86.8</v>
      </c>
      <c r="F212" s="4" t="n">
        <v>3</v>
      </c>
      <c r="G212" s="5" t="n">
        <v>0.49</v>
      </c>
      <c r="H212" s="4" t="n">
        <v>114</v>
      </c>
      <c r="I212" s="4" t="n">
        <v>0</v>
      </c>
      <c r="J212" s="4" t="n">
        <v>0</v>
      </c>
      <c r="K212" s="5" t="n">
        <v>0.33</v>
      </c>
      <c r="L212" s="4" t="n">
        <v>1</v>
      </c>
      <c r="M212" s="6" t="n">
        <f aca="false">$R$2 + SUMPRODUCT(B212:K212,$S$2:$AB$2)</f>
        <v>-0.16443992</v>
      </c>
      <c r="N212" s="6" t="n">
        <f aca="false">1/(1+EXP(-M212))</f>
        <v>0.45898240634849</v>
      </c>
      <c r="O212" s="6" t="n">
        <f aca="false">IF(L212=1,N212,1-N212)</f>
        <v>0.45898240634849</v>
      </c>
      <c r="P212" s="6" t="n">
        <f aca="false">LN(O212)</f>
        <v>-0.778743400051667</v>
      </c>
      <c r="AD212" s="8" t="n">
        <f aca="false">B212</f>
        <v>32</v>
      </c>
      <c r="AE212" s="8" t="n">
        <f aca="false">C212</f>
        <v>42400</v>
      </c>
      <c r="AF212" s="8" t="n">
        <f aca="false">D212</f>
        <v>7</v>
      </c>
      <c r="AG212" s="9" t="n">
        <f aca="false">E212*0.85</f>
        <v>73.78</v>
      </c>
      <c r="AH212" s="9" t="n">
        <f aca="false">F212*0.9</f>
        <v>2.7</v>
      </c>
      <c r="AI212" s="9" t="n">
        <f aca="false">G212</f>
        <v>0.49</v>
      </c>
      <c r="AJ212" s="9" t="n">
        <f aca="false">H212*1.2</f>
        <v>136.8</v>
      </c>
      <c r="AK212" s="8" t="n">
        <f aca="false">I212</f>
        <v>0</v>
      </c>
      <c r="AL212" s="8" t="n">
        <f aca="false">J212</f>
        <v>0</v>
      </c>
      <c r="AM212" s="9" t="n">
        <f aca="false">K212</f>
        <v>0.33</v>
      </c>
      <c r="AN212" s="6" t="n">
        <f aca="false">$R$2 + SUMPRODUCT(AD212:AM212,$S$2:$AB$2)</f>
        <v>-0.505438879999999</v>
      </c>
      <c r="AO212" s="6" t="n">
        <f aca="false">1/(1+EXP(-AN212))</f>
        <v>0.376263365693641</v>
      </c>
    </row>
    <row r="213" customFormat="false" ht="15" hidden="false" customHeight="false" outlineLevel="0" collapsed="false">
      <c r="A213" s="3" t="s">
        <v>277</v>
      </c>
      <c r="B213" s="4" t="n">
        <v>49</v>
      </c>
      <c r="C213" s="4" t="n">
        <v>58900</v>
      </c>
      <c r="D213" s="4" t="n">
        <v>4</v>
      </c>
      <c r="E213" s="5" t="n">
        <v>57.12</v>
      </c>
      <c r="F213" s="4" t="n">
        <v>5</v>
      </c>
      <c r="G213" s="5" t="n">
        <v>0.47</v>
      </c>
      <c r="H213" s="4" t="n">
        <v>75</v>
      </c>
      <c r="I213" s="4" t="n">
        <v>1</v>
      </c>
      <c r="J213" s="4" t="n">
        <v>0</v>
      </c>
      <c r="K213" s="5" t="n">
        <v>0.32</v>
      </c>
      <c r="L213" s="4" t="n">
        <v>0</v>
      </c>
      <c r="M213" s="6" t="n">
        <f aca="false">$R$2 + SUMPRODUCT(B213:K213,$S$2:$AB$2)</f>
        <v>0.190707890000001</v>
      </c>
      <c r="N213" s="6" t="n">
        <f aca="false">1/(1+EXP(-M213))</f>
        <v>0.547532997140316</v>
      </c>
      <c r="O213" s="6" t="n">
        <f aca="false">IF(L213=1,N213,1-N213)</f>
        <v>0.452467002859684</v>
      </c>
      <c r="P213" s="6" t="n">
        <f aca="false">LN(O213)</f>
        <v>-0.793040440358135</v>
      </c>
      <c r="AD213" s="8" t="n">
        <f aca="false">B213</f>
        <v>49</v>
      </c>
      <c r="AE213" s="8" t="n">
        <f aca="false">C213</f>
        <v>58900</v>
      </c>
      <c r="AF213" s="8" t="n">
        <f aca="false">D213</f>
        <v>4</v>
      </c>
      <c r="AG213" s="9" t="n">
        <f aca="false">E213*0.85</f>
        <v>48.552</v>
      </c>
      <c r="AH213" s="9" t="n">
        <f aca="false">F213*0.9</f>
        <v>4.5</v>
      </c>
      <c r="AI213" s="9" t="n">
        <f aca="false">G213</f>
        <v>0.47</v>
      </c>
      <c r="AJ213" s="9" t="n">
        <f aca="false">H213*1.2</f>
        <v>90</v>
      </c>
      <c r="AK213" s="8" t="n">
        <f aca="false">I213</f>
        <v>1</v>
      </c>
      <c r="AL213" s="8" t="n">
        <f aca="false">J213</f>
        <v>0</v>
      </c>
      <c r="AM213" s="9" t="n">
        <f aca="false">K213</f>
        <v>0.32</v>
      </c>
      <c r="AN213" s="6" t="n">
        <f aca="false">$R$2 + SUMPRODUCT(AD213:AM213,$S$2:$AB$2)</f>
        <v>-0.068787554</v>
      </c>
      <c r="AO213" s="6" t="n">
        <f aca="false">1/(1+EXP(-AN213))</f>
        <v>0.482809889208966</v>
      </c>
    </row>
    <row r="214" customFormat="false" ht="15" hidden="false" customHeight="false" outlineLevel="0" collapsed="false">
      <c r="A214" s="3" t="s">
        <v>278</v>
      </c>
      <c r="B214" s="4" t="n">
        <v>49</v>
      </c>
      <c r="C214" s="4" t="n">
        <v>53000</v>
      </c>
      <c r="D214" s="4" t="n">
        <v>6</v>
      </c>
      <c r="E214" s="5" t="n">
        <v>50.71</v>
      </c>
      <c r="F214" s="4" t="n">
        <v>2</v>
      </c>
      <c r="G214" s="5" t="n">
        <v>0.27</v>
      </c>
      <c r="H214" s="4" t="n">
        <v>202</v>
      </c>
      <c r="I214" s="4" t="n">
        <v>0</v>
      </c>
      <c r="J214" s="4" t="n">
        <v>0</v>
      </c>
      <c r="K214" s="5" t="n">
        <v>0.24</v>
      </c>
      <c r="L214" s="4" t="n">
        <v>1</v>
      </c>
      <c r="M214" s="6" t="n">
        <f aca="false">$R$2 + SUMPRODUCT(B214:K214,$S$2:$AB$2)</f>
        <v>-1.87913048</v>
      </c>
      <c r="N214" s="6" t="n">
        <f aca="false">1/(1+EXP(-M214))</f>
        <v>0.132488780328652</v>
      </c>
      <c r="O214" s="6" t="n">
        <f aca="false">IF(L214=1,N214,1-N214)</f>
        <v>0.132488780328652</v>
      </c>
      <c r="P214" s="6" t="n">
        <f aca="false">LN(O214)</f>
        <v>-2.02125731390603</v>
      </c>
      <c r="AD214" s="8" t="n">
        <f aca="false">B214</f>
        <v>49</v>
      </c>
      <c r="AE214" s="8" t="n">
        <f aca="false">C214</f>
        <v>53000</v>
      </c>
      <c r="AF214" s="8" t="n">
        <f aca="false">D214</f>
        <v>6</v>
      </c>
      <c r="AG214" s="9" t="n">
        <f aca="false">E214*0.85</f>
        <v>43.1035</v>
      </c>
      <c r="AH214" s="9" t="n">
        <f aca="false">F214*0.9</f>
        <v>1.8</v>
      </c>
      <c r="AI214" s="9" t="n">
        <f aca="false">G214</f>
        <v>0.27</v>
      </c>
      <c r="AJ214" s="9" t="n">
        <f aca="false">H214*1.2</f>
        <v>242.4</v>
      </c>
      <c r="AK214" s="8" t="n">
        <f aca="false">I214</f>
        <v>0</v>
      </c>
      <c r="AL214" s="8" t="n">
        <f aca="false">J214</f>
        <v>0</v>
      </c>
      <c r="AM214" s="9" t="n">
        <f aca="false">K214</f>
        <v>0.24</v>
      </c>
      <c r="AN214" s="6" t="n">
        <f aca="false">$R$2 + SUMPRODUCT(AD214:AM214,$S$2:$AB$2)</f>
        <v>-2.2371443945</v>
      </c>
      <c r="AO214" s="6" t="n">
        <f aca="false">1/(1+EXP(-AN214))</f>
        <v>0.096464146255746</v>
      </c>
    </row>
    <row r="215" customFormat="false" ht="15" hidden="false" customHeight="false" outlineLevel="0" collapsed="false">
      <c r="A215" s="3" t="s">
        <v>279</v>
      </c>
      <c r="B215" s="4" t="n">
        <v>41</v>
      </c>
      <c r="C215" s="4" t="n">
        <v>51000</v>
      </c>
      <c r="D215" s="4" t="n">
        <v>9</v>
      </c>
      <c r="E215" s="5" t="n">
        <v>73.32</v>
      </c>
      <c r="F215" s="4" t="n">
        <v>6</v>
      </c>
      <c r="G215" s="5" t="n">
        <v>0.2</v>
      </c>
      <c r="H215" s="4" t="n">
        <v>59</v>
      </c>
      <c r="I215" s="4" t="n">
        <v>0</v>
      </c>
      <c r="J215" s="4" t="n">
        <v>1</v>
      </c>
      <c r="K215" s="5" t="n">
        <v>0.52</v>
      </c>
      <c r="L215" s="4" t="n">
        <v>0</v>
      </c>
      <c r="M215" s="6" t="n">
        <f aca="false">$R$2 + SUMPRODUCT(B215:K215,$S$2:$AB$2)</f>
        <v>1.15850892</v>
      </c>
      <c r="N215" s="6" t="n">
        <f aca="false">1/(1+EXP(-M215))</f>
        <v>0.761061672268778</v>
      </c>
      <c r="O215" s="6" t="n">
        <f aca="false">IF(L215=1,N215,1-N215)</f>
        <v>0.238938327731222</v>
      </c>
      <c r="P215" s="6" t="n">
        <f aca="false">LN(O215)</f>
        <v>-1.43154980331504</v>
      </c>
      <c r="AD215" s="8" t="n">
        <f aca="false">B215</f>
        <v>41</v>
      </c>
      <c r="AE215" s="8" t="n">
        <f aca="false">C215</f>
        <v>51000</v>
      </c>
      <c r="AF215" s="8" t="n">
        <f aca="false">D215</f>
        <v>9</v>
      </c>
      <c r="AG215" s="9" t="n">
        <f aca="false">E215*0.85</f>
        <v>62.322</v>
      </c>
      <c r="AH215" s="9" t="n">
        <f aca="false">F215*0.9</f>
        <v>5.4</v>
      </c>
      <c r="AI215" s="9" t="n">
        <f aca="false">G215</f>
        <v>0.2</v>
      </c>
      <c r="AJ215" s="9" t="n">
        <f aca="false">H215*1.2</f>
        <v>70.8</v>
      </c>
      <c r="AK215" s="8" t="n">
        <f aca="false">I215</f>
        <v>0</v>
      </c>
      <c r="AL215" s="8" t="n">
        <f aca="false">J215</f>
        <v>1</v>
      </c>
      <c r="AM215" s="9" t="n">
        <f aca="false">K215</f>
        <v>0.52</v>
      </c>
      <c r="AN215" s="6" t="n">
        <f aca="false">$R$2 + SUMPRODUCT(AD215:AM215,$S$2:$AB$2)</f>
        <v>0.873190586000001</v>
      </c>
      <c r="AO215" s="6" t="n">
        <f aca="false">1/(1+EXP(-AN215))</f>
        <v>0.705409158603517</v>
      </c>
    </row>
    <row r="216" customFormat="false" ht="15" hidden="false" customHeight="false" outlineLevel="0" collapsed="false">
      <c r="A216" s="3" t="s">
        <v>280</v>
      </c>
      <c r="B216" s="4" t="n">
        <v>58</v>
      </c>
      <c r="C216" s="4" t="n">
        <v>66100</v>
      </c>
      <c r="D216" s="4" t="n">
        <v>4</v>
      </c>
      <c r="E216" s="5" t="n">
        <v>88.33</v>
      </c>
      <c r="F216" s="4" t="n">
        <v>5</v>
      </c>
      <c r="G216" s="5" t="n">
        <v>0.44</v>
      </c>
      <c r="H216" s="4" t="n">
        <v>15</v>
      </c>
      <c r="I216" s="4" t="n">
        <v>1</v>
      </c>
      <c r="J216" s="4" t="n">
        <v>0</v>
      </c>
      <c r="K216" s="5" t="n">
        <v>0.25</v>
      </c>
      <c r="L216" s="4" t="n">
        <v>0</v>
      </c>
      <c r="M216" s="6" t="n">
        <f aca="false">$R$2 + SUMPRODUCT(B216:K216,$S$2:$AB$2)</f>
        <v>0.88793438</v>
      </c>
      <c r="N216" s="6" t="n">
        <f aca="false">1/(1+EXP(-M216))</f>
        <v>0.708463717251449</v>
      </c>
      <c r="O216" s="6" t="n">
        <f aca="false">IF(L216=1,N216,1-N216)</f>
        <v>0.291536282748551</v>
      </c>
      <c r="P216" s="6" t="n">
        <f aca="false">LN(O216)</f>
        <v>-1.23259081181698</v>
      </c>
      <c r="AD216" s="8" t="n">
        <f aca="false">B216</f>
        <v>58</v>
      </c>
      <c r="AE216" s="8" t="n">
        <f aca="false">C216</f>
        <v>66100</v>
      </c>
      <c r="AF216" s="8" t="n">
        <f aca="false">D216</f>
        <v>4</v>
      </c>
      <c r="AG216" s="9" t="n">
        <f aca="false">E216*0.85</f>
        <v>75.0805</v>
      </c>
      <c r="AH216" s="9" t="n">
        <f aca="false">F216*0.9</f>
        <v>4.5</v>
      </c>
      <c r="AI216" s="9" t="n">
        <f aca="false">G216</f>
        <v>0.44</v>
      </c>
      <c r="AJ216" s="9" t="n">
        <f aca="false">H216*1.2</f>
        <v>18</v>
      </c>
      <c r="AK216" s="8" t="n">
        <f aca="false">I216</f>
        <v>1</v>
      </c>
      <c r="AL216" s="8" t="n">
        <f aca="false">J216</f>
        <v>0</v>
      </c>
      <c r="AM216" s="9" t="n">
        <f aca="false">K216</f>
        <v>0.25</v>
      </c>
      <c r="AN216" s="6" t="n">
        <f aca="false">$R$2 + SUMPRODUCT(AD216:AM216,$S$2:$AB$2)</f>
        <v>0.634648346500001</v>
      </c>
      <c r="AO216" s="6" t="n">
        <f aca="false">1/(1+EXP(-AN216))</f>
        <v>0.653542712183672</v>
      </c>
    </row>
    <row r="217" customFormat="false" ht="15" hidden="false" customHeight="false" outlineLevel="0" collapsed="false">
      <c r="A217" s="3" t="s">
        <v>281</v>
      </c>
      <c r="B217" s="4" t="n">
        <v>69</v>
      </c>
      <c r="C217" s="4" t="n">
        <v>68600</v>
      </c>
      <c r="D217" s="4" t="n">
        <v>9</v>
      </c>
      <c r="E217" s="5" t="n">
        <v>59.43</v>
      </c>
      <c r="F217" s="4" t="n">
        <v>1</v>
      </c>
      <c r="G217" s="5" t="n">
        <v>0.48</v>
      </c>
      <c r="H217" s="4" t="n">
        <v>231</v>
      </c>
      <c r="I217" s="4" t="n">
        <v>0</v>
      </c>
      <c r="J217" s="4" t="n">
        <v>1</v>
      </c>
      <c r="K217" s="5" t="n">
        <v>0.44</v>
      </c>
      <c r="L217" s="4" t="n">
        <v>1</v>
      </c>
      <c r="M217" s="6" t="n">
        <f aca="false">$R$2 + SUMPRODUCT(B217:K217,$S$2:$AB$2)</f>
        <v>-0.145593209999999</v>
      </c>
      <c r="N217" s="6" t="n">
        <f aca="false">1/(1+EXP(-M217))</f>
        <v>0.463665857230868</v>
      </c>
      <c r="O217" s="6" t="n">
        <f aca="false">IF(L217=1,N217,1-N217)</f>
        <v>0.463665857230868</v>
      </c>
      <c r="P217" s="6" t="n">
        <f aca="false">LN(O217)</f>
        <v>-0.768591121456146</v>
      </c>
      <c r="AD217" s="8" t="n">
        <f aca="false">B217</f>
        <v>69</v>
      </c>
      <c r="AE217" s="8" t="n">
        <f aca="false">C217</f>
        <v>68600</v>
      </c>
      <c r="AF217" s="8" t="n">
        <f aca="false">D217</f>
        <v>9</v>
      </c>
      <c r="AG217" s="9" t="n">
        <f aca="false">E217*0.85</f>
        <v>50.5155</v>
      </c>
      <c r="AH217" s="9" t="n">
        <f aca="false">F217*0.9</f>
        <v>0.9</v>
      </c>
      <c r="AI217" s="9" t="n">
        <f aca="false">G217</f>
        <v>0.48</v>
      </c>
      <c r="AJ217" s="9" t="n">
        <f aca="false">H217*1.2</f>
        <v>277.2</v>
      </c>
      <c r="AK217" s="8" t="n">
        <f aca="false">I217</f>
        <v>0</v>
      </c>
      <c r="AL217" s="8" t="n">
        <f aca="false">J217</f>
        <v>1</v>
      </c>
      <c r="AM217" s="9" t="n">
        <f aca="false">K217</f>
        <v>0.44</v>
      </c>
      <c r="AN217" s="6" t="n">
        <f aca="false">$R$2 + SUMPRODUCT(AD217:AM217,$S$2:$AB$2)</f>
        <v>-0.542967588499999</v>
      </c>
      <c r="AO217" s="6" t="n">
        <f aca="false">1/(1+EXP(-AN217))</f>
        <v>0.367497515981478</v>
      </c>
    </row>
    <row r="218" customFormat="false" ht="15" hidden="false" customHeight="false" outlineLevel="0" collapsed="false">
      <c r="A218" s="3" t="s">
        <v>282</v>
      </c>
      <c r="B218" s="4" t="n">
        <v>66</v>
      </c>
      <c r="C218" s="4" t="n">
        <v>45500</v>
      </c>
      <c r="D218" s="4" t="n">
        <v>9</v>
      </c>
      <c r="E218" s="5" t="n">
        <v>91.63</v>
      </c>
      <c r="F218" s="4" t="n">
        <v>5</v>
      </c>
      <c r="G218" s="5" t="n">
        <v>0.25</v>
      </c>
      <c r="H218" s="4" t="n">
        <v>105</v>
      </c>
      <c r="I218" s="4" t="n">
        <v>0</v>
      </c>
      <c r="J218" s="4" t="n">
        <v>1</v>
      </c>
      <c r="K218" s="5" t="n">
        <v>0.75</v>
      </c>
      <c r="L218" s="4" t="n">
        <v>1</v>
      </c>
      <c r="M218" s="6" t="n">
        <f aca="false">$R$2 + SUMPRODUCT(B218:K218,$S$2:$AB$2)</f>
        <v>0.95345029</v>
      </c>
      <c r="N218" s="6" t="n">
        <f aca="false">1/(1+EXP(-M218))</f>
        <v>0.721808529559785</v>
      </c>
      <c r="O218" s="6" t="n">
        <f aca="false">IF(L218=1,N218,1-N218)</f>
        <v>0.721808529559785</v>
      </c>
      <c r="P218" s="6" t="n">
        <f aca="false">LN(O218)</f>
        <v>-0.325995369775128</v>
      </c>
      <c r="AD218" s="8" t="n">
        <f aca="false">B218</f>
        <v>66</v>
      </c>
      <c r="AE218" s="8" t="n">
        <f aca="false">C218</f>
        <v>45500</v>
      </c>
      <c r="AF218" s="8" t="n">
        <f aca="false">D218</f>
        <v>9</v>
      </c>
      <c r="AG218" s="9" t="n">
        <f aca="false">E218*0.85</f>
        <v>77.8855</v>
      </c>
      <c r="AH218" s="9" t="n">
        <f aca="false">F218*0.9</f>
        <v>4.5</v>
      </c>
      <c r="AI218" s="9" t="n">
        <f aca="false">G218</f>
        <v>0.25</v>
      </c>
      <c r="AJ218" s="9" t="n">
        <f aca="false">H218*1.2</f>
        <v>126</v>
      </c>
      <c r="AK218" s="8" t="n">
        <f aca="false">I218</f>
        <v>0</v>
      </c>
      <c r="AL218" s="8" t="n">
        <f aca="false">J218</f>
        <v>1</v>
      </c>
      <c r="AM218" s="9" t="n">
        <f aca="false">K218</f>
        <v>0.75</v>
      </c>
      <c r="AN218" s="6" t="n">
        <f aca="false">$R$2 + SUMPRODUCT(AD218:AM218,$S$2:$AB$2)</f>
        <v>0.5898709215</v>
      </c>
      <c r="AO218" s="6" t="n">
        <f aca="false">1/(1+EXP(-AN218))</f>
        <v>0.643335528544707</v>
      </c>
    </row>
    <row r="219" customFormat="false" ht="15" hidden="false" customHeight="false" outlineLevel="0" collapsed="false">
      <c r="A219" s="3" t="s">
        <v>283</v>
      </c>
      <c r="B219" s="4" t="n">
        <v>66</v>
      </c>
      <c r="C219" s="4" t="n">
        <v>44600</v>
      </c>
      <c r="D219" s="4" t="n">
        <v>10</v>
      </c>
      <c r="E219" s="5" t="n">
        <v>101.32</v>
      </c>
      <c r="F219" s="4" t="n">
        <v>4</v>
      </c>
      <c r="G219" s="5" t="n">
        <v>0.25</v>
      </c>
      <c r="H219" s="4" t="n">
        <v>165</v>
      </c>
      <c r="I219" s="4" t="n">
        <v>1</v>
      </c>
      <c r="J219" s="4" t="n">
        <v>0</v>
      </c>
      <c r="K219" s="5" t="n">
        <v>0.21</v>
      </c>
      <c r="L219" s="4" t="n">
        <v>0</v>
      </c>
      <c r="M219" s="6" t="n">
        <f aca="false">$R$2 + SUMPRODUCT(B219:K219,$S$2:$AB$2)</f>
        <v>0.27060724</v>
      </c>
      <c r="N219" s="6" t="n">
        <f aca="false">1/(1+EXP(-M219))</f>
        <v>0.567241975422227</v>
      </c>
      <c r="O219" s="6" t="n">
        <f aca="false">IF(L219=1,N219,1-N219)</f>
        <v>0.432758024577773</v>
      </c>
      <c r="P219" s="6" t="n">
        <f aca="false">LN(O219)</f>
        <v>-0.837576541879318</v>
      </c>
      <c r="AD219" s="8" t="n">
        <f aca="false">B219</f>
        <v>66</v>
      </c>
      <c r="AE219" s="8" t="n">
        <f aca="false">C219</f>
        <v>44600</v>
      </c>
      <c r="AF219" s="8" t="n">
        <f aca="false">D219</f>
        <v>10</v>
      </c>
      <c r="AG219" s="9" t="n">
        <f aca="false">E219*0.85</f>
        <v>86.122</v>
      </c>
      <c r="AH219" s="9" t="n">
        <f aca="false">F219*0.9</f>
        <v>3.6</v>
      </c>
      <c r="AI219" s="9" t="n">
        <f aca="false">G219</f>
        <v>0.25</v>
      </c>
      <c r="AJ219" s="9" t="n">
        <f aca="false">H219*1.2</f>
        <v>198</v>
      </c>
      <c r="AK219" s="8" t="n">
        <f aca="false">I219</f>
        <v>1</v>
      </c>
      <c r="AL219" s="8" t="n">
        <f aca="false">J219</f>
        <v>0</v>
      </c>
      <c r="AM219" s="9" t="n">
        <f aca="false">K219</f>
        <v>0.21</v>
      </c>
      <c r="AN219" s="6" t="n">
        <f aca="false">$R$2 + SUMPRODUCT(AD219:AM219,$S$2:$AB$2)</f>
        <v>-0.169986694</v>
      </c>
      <c r="AO219" s="6" t="n">
        <f aca="false">1/(1+EXP(-AN219))</f>
        <v>0.457605361808841</v>
      </c>
    </row>
    <row r="220" customFormat="false" ht="15" hidden="false" customHeight="false" outlineLevel="0" collapsed="false">
      <c r="A220" s="3" t="s">
        <v>284</v>
      </c>
      <c r="B220" s="4" t="n">
        <v>69</v>
      </c>
      <c r="C220" s="4" t="n">
        <v>50000</v>
      </c>
      <c r="D220" s="4" t="n">
        <v>8</v>
      </c>
      <c r="E220" s="5" t="n">
        <v>42.09</v>
      </c>
      <c r="F220" s="4" t="n">
        <v>0</v>
      </c>
      <c r="G220" s="5" t="n">
        <v>0.47</v>
      </c>
      <c r="H220" s="4" t="n">
        <v>199</v>
      </c>
      <c r="I220" s="4" t="n">
        <v>0</v>
      </c>
      <c r="J220" s="4" t="n">
        <v>0</v>
      </c>
      <c r="K220" s="5" t="n">
        <v>0.43</v>
      </c>
      <c r="L220" s="4" t="n">
        <v>0</v>
      </c>
      <c r="M220" s="6" t="n">
        <f aca="false">$R$2 + SUMPRODUCT(B220:K220,$S$2:$AB$2)</f>
        <v>-1.58455247</v>
      </c>
      <c r="N220" s="6" t="n">
        <f aca="false">1/(1+EXP(-M220))</f>
        <v>0.170151707189963</v>
      </c>
      <c r="O220" s="6" t="n">
        <f aca="false">IF(L220=1,N220,1-N220)</f>
        <v>0.829848292810037</v>
      </c>
      <c r="P220" s="6" t="n">
        <f aca="false">LN(O220)</f>
        <v>-0.186512374644691</v>
      </c>
      <c r="AD220" s="8" t="n">
        <f aca="false">B220</f>
        <v>69</v>
      </c>
      <c r="AE220" s="8" t="n">
        <f aca="false">C220</f>
        <v>50000</v>
      </c>
      <c r="AF220" s="8" t="n">
        <f aca="false">D220</f>
        <v>8</v>
      </c>
      <c r="AG220" s="9" t="n">
        <f aca="false">E220*0.85</f>
        <v>35.7765</v>
      </c>
      <c r="AH220" s="9" t="n">
        <f aca="false">F220*0.9</f>
        <v>0</v>
      </c>
      <c r="AI220" s="9" t="n">
        <f aca="false">G220</f>
        <v>0.47</v>
      </c>
      <c r="AJ220" s="9" t="n">
        <f aca="false">H220*1.2</f>
        <v>238.8</v>
      </c>
      <c r="AK220" s="8" t="n">
        <f aca="false">I220</f>
        <v>0</v>
      </c>
      <c r="AL220" s="8" t="n">
        <f aca="false">J220</f>
        <v>0</v>
      </c>
      <c r="AM220" s="9" t="n">
        <f aca="false">K220</f>
        <v>0.43</v>
      </c>
      <c r="AN220" s="6" t="n">
        <f aca="false">$R$2 + SUMPRODUCT(AD220:AM220,$S$2:$AB$2)</f>
        <v>-1.8985301155</v>
      </c>
      <c r="AO220" s="6" t="n">
        <f aca="false">1/(1+EXP(-AN220))</f>
        <v>0.130274926741619</v>
      </c>
    </row>
    <row r="221" customFormat="false" ht="15" hidden="false" customHeight="false" outlineLevel="0" collapsed="false">
      <c r="A221" s="3" t="s">
        <v>285</v>
      </c>
      <c r="B221" s="4" t="n">
        <v>29</v>
      </c>
      <c r="C221" s="4" t="n">
        <v>15000</v>
      </c>
      <c r="D221" s="4" t="n">
        <v>5</v>
      </c>
      <c r="E221" s="5" t="n">
        <v>44.08</v>
      </c>
      <c r="F221" s="4" t="n">
        <v>5</v>
      </c>
      <c r="G221" s="5" t="n">
        <v>0.6</v>
      </c>
      <c r="H221" s="4" t="n">
        <v>354</v>
      </c>
      <c r="I221" s="4" t="n">
        <v>1</v>
      </c>
      <c r="J221" s="4" t="n">
        <v>1</v>
      </c>
      <c r="K221" s="5" t="n">
        <v>0.3</v>
      </c>
      <c r="L221" s="4" t="n">
        <v>1</v>
      </c>
      <c r="M221" s="6" t="n">
        <f aca="false">$R$2 + SUMPRODUCT(B221:K221,$S$2:$AB$2)</f>
        <v>-1.35960886</v>
      </c>
      <c r="N221" s="6" t="n">
        <f aca="false">1/(1+EXP(-M221))</f>
        <v>0.204303880136527</v>
      </c>
      <c r="O221" s="6" t="n">
        <f aca="false">IF(L221=1,N221,1-N221)</f>
        <v>0.204303880136527</v>
      </c>
      <c r="P221" s="6" t="n">
        <f aca="false">LN(O221)</f>
        <v>-1.58814678499174</v>
      </c>
      <c r="AD221" s="8" t="n">
        <f aca="false">B221</f>
        <v>29</v>
      </c>
      <c r="AE221" s="8" t="n">
        <f aca="false">C221</f>
        <v>15000</v>
      </c>
      <c r="AF221" s="8" t="n">
        <f aca="false">D221</f>
        <v>5</v>
      </c>
      <c r="AG221" s="9" t="n">
        <f aca="false">E221*0.85</f>
        <v>37.468</v>
      </c>
      <c r="AH221" s="9" t="n">
        <f aca="false">F221*0.9</f>
        <v>4.5</v>
      </c>
      <c r="AI221" s="9" t="n">
        <f aca="false">G221</f>
        <v>0.6</v>
      </c>
      <c r="AJ221" s="9" t="n">
        <f aca="false">H221*1.2</f>
        <v>424.8</v>
      </c>
      <c r="AK221" s="8" t="n">
        <f aca="false">I221</f>
        <v>1</v>
      </c>
      <c r="AL221" s="8" t="n">
        <f aca="false">J221</f>
        <v>1</v>
      </c>
      <c r="AM221" s="9" t="n">
        <f aca="false">K221</f>
        <v>0.3</v>
      </c>
      <c r="AN221" s="6" t="n">
        <f aca="false">$R$2 + SUMPRODUCT(AD221:AM221,$S$2:$AB$2)</f>
        <v>-1.914125756</v>
      </c>
      <c r="AO221" s="6" t="n">
        <f aca="false">1/(1+EXP(-AN221))</f>
        <v>0.128518054024393</v>
      </c>
    </row>
    <row r="222" customFormat="false" ht="15" hidden="false" customHeight="false" outlineLevel="0" collapsed="false">
      <c r="A222" s="3" t="s">
        <v>286</v>
      </c>
      <c r="B222" s="4" t="n">
        <v>56</v>
      </c>
      <c r="C222" s="4" t="n">
        <v>27700</v>
      </c>
      <c r="D222" s="4" t="n">
        <v>6</v>
      </c>
      <c r="E222" s="5" t="n">
        <v>61.49</v>
      </c>
      <c r="F222" s="4" t="n">
        <v>4</v>
      </c>
      <c r="G222" s="5" t="n">
        <v>0.55</v>
      </c>
      <c r="H222" s="4" t="n">
        <v>35</v>
      </c>
      <c r="I222" s="4" t="n">
        <v>1</v>
      </c>
      <c r="J222" s="4" t="n">
        <v>1</v>
      </c>
      <c r="K222" s="5" t="n">
        <v>0.2</v>
      </c>
      <c r="L222" s="4" t="n">
        <v>1</v>
      </c>
      <c r="M222" s="6" t="n">
        <f aca="false">$R$2 + SUMPRODUCT(B222:K222,$S$2:$AB$2)</f>
        <v>0.568233820000001</v>
      </c>
      <c r="N222" s="6" t="n">
        <f aca="false">1/(1+EXP(-M222))</f>
        <v>0.638355538533222</v>
      </c>
      <c r="O222" s="6" t="n">
        <f aca="false">IF(L222=1,N222,1-N222)</f>
        <v>0.638355538533222</v>
      </c>
      <c r="P222" s="6" t="n">
        <f aca="false">LN(O222)</f>
        <v>-0.448859880426602</v>
      </c>
      <c r="AD222" s="8" t="n">
        <f aca="false">B222</f>
        <v>56</v>
      </c>
      <c r="AE222" s="8" t="n">
        <f aca="false">C222</f>
        <v>27700</v>
      </c>
      <c r="AF222" s="8" t="n">
        <f aca="false">D222</f>
        <v>6</v>
      </c>
      <c r="AG222" s="9" t="n">
        <f aca="false">E222*0.85</f>
        <v>52.2665</v>
      </c>
      <c r="AH222" s="9" t="n">
        <f aca="false">F222*0.9</f>
        <v>3.6</v>
      </c>
      <c r="AI222" s="9" t="n">
        <f aca="false">G222</f>
        <v>0.55</v>
      </c>
      <c r="AJ222" s="9" t="n">
        <f aca="false">H222*1.2</f>
        <v>42</v>
      </c>
      <c r="AK222" s="8" t="n">
        <f aca="false">I222</f>
        <v>1</v>
      </c>
      <c r="AL222" s="8" t="n">
        <f aca="false">J222</f>
        <v>1</v>
      </c>
      <c r="AM222" s="9" t="n">
        <f aca="false">K222</f>
        <v>0.2</v>
      </c>
      <c r="AN222" s="6" t="n">
        <f aca="false">$R$2 + SUMPRODUCT(AD222:AM222,$S$2:$AB$2)</f>
        <v>0.3576033445</v>
      </c>
      <c r="AO222" s="6" t="n">
        <f aca="false">1/(1+EXP(-AN222))</f>
        <v>0.588460147790267</v>
      </c>
    </row>
    <row r="223" customFormat="false" ht="15" hidden="false" customHeight="false" outlineLevel="0" collapsed="false">
      <c r="A223" s="3" t="s">
        <v>287</v>
      </c>
      <c r="B223" s="4" t="n">
        <v>19</v>
      </c>
      <c r="C223" s="4" t="n">
        <v>79600</v>
      </c>
      <c r="D223" s="4" t="n">
        <v>4</v>
      </c>
      <c r="E223" s="5" t="n">
        <v>72.69</v>
      </c>
      <c r="F223" s="4" t="n">
        <v>6</v>
      </c>
      <c r="G223" s="5" t="n">
        <v>0.27</v>
      </c>
      <c r="H223" s="4" t="n">
        <v>162</v>
      </c>
      <c r="I223" s="4" t="n">
        <v>0</v>
      </c>
      <c r="J223" s="4" t="n">
        <v>1</v>
      </c>
      <c r="K223" s="5" t="n">
        <v>0.12</v>
      </c>
      <c r="L223" s="4" t="n">
        <v>0</v>
      </c>
      <c r="M223" s="6" t="n">
        <f aca="false">$R$2 + SUMPRODUCT(B223:K223,$S$2:$AB$2)</f>
        <v>0.1831589</v>
      </c>
      <c r="N223" s="6" t="n">
        <f aca="false">1/(1+EXP(-M223))</f>
        <v>0.545662143294588</v>
      </c>
      <c r="O223" s="6" t="n">
        <f aca="false">IF(L223=1,N223,1-N223)</f>
        <v>0.454337856705412</v>
      </c>
      <c r="P223" s="6" t="n">
        <f aca="false">LN(O223)</f>
        <v>-0.788914179938539</v>
      </c>
      <c r="AD223" s="8" t="n">
        <f aca="false">B223</f>
        <v>19</v>
      </c>
      <c r="AE223" s="8" t="n">
        <f aca="false">C223</f>
        <v>79600</v>
      </c>
      <c r="AF223" s="8" t="n">
        <f aca="false">D223</f>
        <v>4</v>
      </c>
      <c r="AG223" s="9" t="n">
        <f aca="false">E223*0.85</f>
        <v>61.7865</v>
      </c>
      <c r="AH223" s="9" t="n">
        <f aca="false">F223*0.9</f>
        <v>5.4</v>
      </c>
      <c r="AI223" s="9" t="n">
        <f aca="false">G223</f>
        <v>0.27</v>
      </c>
      <c r="AJ223" s="9" t="n">
        <f aca="false">H223*1.2</f>
        <v>194.4</v>
      </c>
      <c r="AK223" s="8" t="n">
        <f aca="false">I223</f>
        <v>0</v>
      </c>
      <c r="AL223" s="8" t="n">
        <f aca="false">J223</f>
        <v>1</v>
      </c>
      <c r="AM223" s="9" t="n">
        <f aca="false">K223</f>
        <v>0.12</v>
      </c>
      <c r="AN223" s="6" t="n">
        <f aca="false">$R$2 + SUMPRODUCT(AD223:AM223,$S$2:$AB$2)</f>
        <v>-0.2195048155</v>
      </c>
      <c r="AO223" s="6" t="n">
        <f aca="false">1/(1+EXP(-AN223))</f>
        <v>0.445343078401024</v>
      </c>
    </row>
    <row r="224" customFormat="false" ht="15" hidden="false" customHeight="false" outlineLevel="0" collapsed="false">
      <c r="A224" s="3" t="s">
        <v>288</v>
      </c>
      <c r="B224" s="4" t="n">
        <v>20</v>
      </c>
      <c r="C224" s="4" t="n">
        <v>84600</v>
      </c>
      <c r="D224" s="4" t="n">
        <v>4</v>
      </c>
      <c r="E224" s="5" t="n">
        <v>51.89</v>
      </c>
      <c r="F224" s="4" t="n">
        <v>1</v>
      </c>
      <c r="G224" s="5" t="n">
        <v>0.27</v>
      </c>
      <c r="H224" s="4" t="n">
        <v>245</v>
      </c>
      <c r="I224" s="4" t="n">
        <v>0</v>
      </c>
      <c r="J224" s="4" t="n">
        <v>1</v>
      </c>
      <c r="K224" s="5" t="n">
        <v>0.33</v>
      </c>
      <c r="L224" s="4" t="n">
        <v>0</v>
      </c>
      <c r="M224" s="6" t="n">
        <f aca="false">$R$2 + SUMPRODUCT(B224:K224,$S$2:$AB$2)</f>
        <v>-0.81168457</v>
      </c>
      <c r="N224" s="6" t="n">
        <f aca="false">1/(1+EXP(-M224))</f>
        <v>0.307531640260818</v>
      </c>
      <c r="O224" s="6" t="n">
        <f aca="false">IF(L224=1,N224,1-N224)</f>
        <v>0.692468359739182</v>
      </c>
      <c r="P224" s="6" t="n">
        <f aca="false">LN(O224)</f>
        <v>-0.367492731871777</v>
      </c>
      <c r="AD224" s="8" t="n">
        <f aca="false">B224</f>
        <v>20</v>
      </c>
      <c r="AE224" s="8" t="n">
        <f aca="false">C224</f>
        <v>84600</v>
      </c>
      <c r="AF224" s="8" t="n">
        <f aca="false">D224</f>
        <v>4</v>
      </c>
      <c r="AG224" s="9" t="n">
        <f aca="false">E224*0.85</f>
        <v>44.1065</v>
      </c>
      <c r="AH224" s="9" t="n">
        <f aca="false">F224*0.9</f>
        <v>0.9</v>
      </c>
      <c r="AI224" s="9" t="n">
        <f aca="false">G224</f>
        <v>0.27</v>
      </c>
      <c r="AJ224" s="9" t="n">
        <f aca="false">H224*1.2</f>
        <v>294</v>
      </c>
      <c r="AK224" s="8" t="n">
        <f aca="false">I224</f>
        <v>0</v>
      </c>
      <c r="AL224" s="8" t="n">
        <f aca="false">J224</f>
        <v>1</v>
      </c>
      <c r="AM224" s="9" t="n">
        <f aca="false">K224</f>
        <v>0.33</v>
      </c>
      <c r="AN224" s="6" t="n">
        <f aca="false">$R$2 + SUMPRODUCT(AD224:AM224,$S$2:$AB$2)</f>
        <v>-1.2099886255</v>
      </c>
      <c r="AO224" s="6" t="n">
        <f aca="false">1/(1+EXP(-AN224))</f>
        <v>0.229703063546306</v>
      </c>
    </row>
    <row r="225" customFormat="false" ht="15" hidden="false" customHeight="false" outlineLevel="0" collapsed="false">
      <c r="A225" s="3" t="s">
        <v>289</v>
      </c>
      <c r="B225" s="4" t="n">
        <v>66</v>
      </c>
      <c r="C225" s="4" t="n">
        <v>50500</v>
      </c>
      <c r="D225" s="4" t="n">
        <v>10</v>
      </c>
      <c r="E225" s="5" t="n">
        <v>98.81</v>
      </c>
      <c r="F225" s="4" t="n">
        <v>2</v>
      </c>
      <c r="G225" s="5" t="n">
        <v>0.25</v>
      </c>
      <c r="H225" s="4" t="n">
        <v>287</v>
      </c>
      <c r="I225" s="4" t="n">
        <v>0</v>
      </c>
      <c r="J225" s="4" t="n">
        <v>1</v>
      </c>
      <c r="K225" s="5" t="n">
        <v>0.49</v>
      </c>
      <c r="L225" s="4" t="n">
        <v>0</v>
      </c>
      <c r="M225" s="6" t="n">
        <f aca="false">$R$2 + SUMPRODUCT(B225:K225,$S$2:$AB$2)</f>
        <v>-0.33854135</v>
      </c>
      <c r="N225" s="6" t="n">
        <f aca="false">1/(1+EXP(-M225))</f>
        <v>0.416163844044021</v>
      </c>
      <c r="O225" s="6" t="n">
        <f aca="false">IF(L225=1,N225,1-N225)</f>
        <v>0.583836155955979</v>
      </c>
      <c r="P225" s="6" t="n">
        <f aca="false">LN(O225)</f>
        <v>-0.538134890386689</v>
      </c>
      <c r="AD225" s="8" t="n">
        <f aca="false">B225</f>
        <v>66</v>
      </c>
      <c r="AE225" s="8" t="n">
        <f aca="false">C225</f>
        <v>50500</v>
      </c>
      <c r="AF225" s="8" t="n">
        <f aca="false">D225</f>
        <v>10</v>
      </c>
      <c r="AG225" s="9" t="n">
        <f aca="false">E225*0.85</f>
        <v>83.9885</v>
      </c>
      <c r="AH225" s="9" t="n">
        <f aca="false">F225*0.9</f>
        <v>1.8</v>
      </c>
      <c r="AI225" s="9" t="n">
        <f aca="false">G225</f>
        <v>0.25</v>
      </c>
      <c r="AJ225" s="9" t="n">
        <f aca="false">H225*1.2</f>
        <v>344.4</v>
      </c>
      <c r="AK225" s="8" t="n">
        <f aca="false">I225</f>
        <v>0</v>
      </c>
      <c r="AL225" s="8" t="n">
        <f aca="false">J225</f>
        <v>1</v>
      </c>
      <c r="AM225" s="9" t="n">
        <f aca="false">K225</f>
        <v>0.49</v>
      </c>
      <c r="AN225" s="6" t="n">
        <f aca="false">$R$2 + SUMPRODUCT(AD225:AM225,$S$2:$AB$2)</f>
        <v>-0.8913603595</v>
      </c>
      <c r="AO225" s="6" t="n">
        <f aca="false">1/(1+EXP(-AN225))</f>
        <v>0.290829176781983</v>
      </c>
    </row>
    <row r="226" customFormat="false" ht="15" hidden="false" customHeight="false" outlineLevel="0" collapsed="false">
      <c r="A226" s="3" t="s">
        <v>290</v>
      </c>
      <c r="B226" s="4" t="n">
        <v>54</v>
      </c>
      <c r="C226" s="4" t="n">
        <v>65400</v>
      </c>
      <c r="D226" s="4" t="n">
        <v>4</v>
      </c>
      <c r="E226" s="5" t="n">
        <v>75.6</v>
      </c>
      <c r="F226" s="4" t="n">
        <v>2</v>
      </c>
      <c r="G226" s="5" t="n">
        <v>0.25</v>
      </c>
      <c r="H226" s="4" t="n">
        <v>19</v>
      </c>
      <c r="I226" s="4" t="n">
        <v>1</v>
      </c>
      <c r="J226" s="4" t="n">
        <v>0</v>
      </c>
      <c r="K226" s="5" t="n">
        <v>0.04</v>
      </c>
      <c r="L226" s="4" t="n">
        <v>0</v>
      </c>
      <c r="M226" s="6" t="n">
        <f aca="false">$R$2 + SUMPRODUCT(B226:K226,$S$2:$AB$2)</f>
        <v>-0.177367129999999</v>
      </c>
      <c r="N226" s="6" t="n">
        <f aca="false">1/(1+EXP(-M226))</f>
        <v>0.455774099003949</v>
      </c>
      <c r="O226" s="6" t="n">
        <f aca="false">IF(L226=1,N226,1-N226)</f>
        <v>0.544225900996051</v>
      </c>
      <c r="P226" s="6" t="n">
        <f aca="false">LN(O226)</f>
        <v>-0.608390859138511</v>
      </c>
      <c r="AD226" s="8" t="n">
        <f aca="false">B226</f>
        <v>54</v>
      </c>
      <c r="AE226" s="8" t="n">
        <f aca="false">C226</f>
        <v>65400</v>
      </c>
      <c r="AF226" s="8" t="n">
        <f aca="false">D226</f>
        <v>4</v>
      </c>
      <c r="AG226" s="9" t="n">
        <f aca="false">E226*0.85</f>
        <v>64.26</v>
      </c>
      <c r="AH226" s="9" t="n">
        <f aca="false">F226*0.9</f>
        <v>1.8</v>
      </c>
      <c r="AI226" s="9" t="n">
        <f aca="false">G226</f>
        <v>0.25</v>
      </c>
      <c r="AJ226" s="9" t="n">
        <f aca="false">H226*1.2</f>
        <v>22.8</v>
      </c>
      <c r="AK226" s="8" t="n">
        <f aca="false">I226</f>
        <v>1</v>
      </c>
      <c r="AL226" s="8" t="n">
        <f aca="false">J226</f>
        <v>0</v>
      </c>
      <c r="AM226" s="9" t="n">
        <f aca="false">K226</f>
        <v>0.04</v>
      </c>
      <c r="AN226" s="6" t="n">
        <f aca="false">$R$2 + SUMPRODUCT(AD226:AM226,$S$2:$AB$2)</f>
        <v>-0.37479035</v>
      </c>
      <c r="AO226" s="6" t="n">
        <f aca="false">1/(1+EXP(-AN226))</f>
        <v>0.407384013243783</v>
      </c>
    </row>
    <row r="227" customFormat="false" ht="15" hidden="false" customHeight="false" outlineLevel="0" collapsed="false">
      <c r="A227" s="3" t="s">
        <v>291</v>
      </c>
      <c r="B227" s="4" t="n">
        <v>66</v>
      </c>
      <c r="C227" s="4" t="n">
        <v>60600</v>
      </c>
      <c r="D227" s="4" t="n">
        <v>4</v>
      </c>
      <c r="E227" s="5" t="n">
        <v>65.99</v>
      </c>
      <c r="F227" s="4" t="n">
        <v>3</v>
      </c>
      <c r="G227" s="5" t="n">
        <v>0.19</v>
      </c>
      <c r="H227" s="4" t="n">
        <v>280</v>
      </c>
      <c r="I227" s="4" t="n">
        <v>0</v>
      </c>
      <c r="J227" s="4" t="n">
        <v>0</v>
      </c>
      <c r="K227" s="5" t="n">
        <v>0.35</v>
      </c>
      <c r="L227" s="4" t="n">
        <v>0</v>
      </c>
      <c r="M227" s="6" t="n">
        <f aca="false">$R$2 + SUMPRODUCT(B227:K227,$S$2:$AB$2)</f>
        <v>-2.41293829</v>
      </c>
      <c r="N227" s="6" t="n">
        <f aca="false">1/(1+EXP(-M227))</f>
        <v>0.0821913930924991</v>
      </c>
      <c r="O227" s="6" t="n">
        <f aca="false">IF(L227=1,N227,1-N227)</f>
        <v>0.917808606907501</v>
      </c>
      <c r="P227" s="6" t="n">
        <f aca="false">LN(O227)</f>
        <v>-0.0857663993060581</v>
      </c>
      <c r="AD227" s="8" t="n">
        <f aca="false">B227</f>
        <v>66</v>
      </c>
      <c r="AE227" s="8" t="n">
        <f aca="false">C227</f>
        <v>60600</v>
      </c>
      <c r="AF227" s="8" t="n">
        <f aca="false">D227</f>
        <v>4</v>
      </c>
      <c r="AG227" s="9" t="n">
        <f aca="false">E227*0.85</f>
        <v>56.0915</v>
      </c>
      <c r="AH227" s="9" t="n">
        <f aca="false">F227*0.9</f>
        <v>2.7</v>
      </c>
      <c r="AI227" s="9" t="n">
        <f aca="false">G227</f>
        <v>0.19</v>
      </c>
      <c r="AJ227" s="9" t="n">
        <f aca="false">H227*1.2</f>
        <v>336</v>
      </c>
      <c r="AK227" s="8" t="n">
        <f aca="false">I227</f>
        <v>0</v>
      </c>
      <c r="AL227" s="8" t="n">
        <f aca="false">J227</f>
        <v>0</v>
      </c>
      <c r="AM227" s="9" t="n">
        <f aca="false">K227</f>
        <v>0.35</v>
      </c>
      <c r="AN227" s="6" t="n">
        <f aca="false">$R$2 + SUMPRODUCT(AD227:AM227,$S$2:$AB$2)</f>
        <v>-2.9031717405</v>
      </c>
      <c r="AO227" s="6" t="n">
        <f aca="false">1/(1+EXP(-AN227))</f>
        <v>0.0519969951543448</v>
      </c>
    </row>
    <row r="228" customFormat="false" ht="15" hidden="false" customHeight="false" outlineLevel="0" collapsed="false">
      <c r="A228" s="3" t="s">
        <v>292</v>
      </c>
      <c r="B228" s="4" t="n">
        <v>34</v>
      </c>
      <c r="C228" s="4" t="n">
        <v>110400</v>
      </c>
      <c r="D228" s="4" t="n">
        <v>7</v>
      </c>
      <c r="E228" s="5" t="n">
        <v>29.1</v>
      </c>
      <c r="F228" s="4" t="n">
        <v>3</v>
      </c>
      <c r="G228" s="5" t="n">
        <v>0.5</v>
      </c>
      <c r="H228" s="4" t="n">
        <v>340</v>
      </c>
      <c r="I228" s="4" t="n">
        <v>1</v>
      </c>
      <c r="J228" s="4" t="n">
        <v>0</v>
      </c>
      <c r="K228" s="5" t="n">
        <v>0.09</v>
      </c>
      <c r="L228" s="4" t="n">
        <v>1</v>
      </c>
      <c r="M228" s="6" t="n">
        <f aca="false">$R$2 + SUMPRODUCT(B228:K228,$S$2:$AB$2)</f>
        <v>-0.231760229999999</v>
      </c>
      <c r="N228" s="6" t="n">
        <f aca="false">1/(1+EXP(-M228))</f>
        <v>0.4423179006036</v>
      </c>
      <c r="O228" s="6" t="n">
        <f aca="false">IF(L228=1,N228,1-N228)</f>
        <v>0.4423179006036</v>
      </c>
      <c r="P228" s="6" t="n">
        <f aca="false">LN(O228)</f>
        <v>-0.815726423293077</v>
      </c>
      <c r="AD228" s="8" t="n">
        <f aca="false">B228</f>
        <v>34</v>
      </c>
      <c r="AE228" s="8" t="n">
        <f aca="false">C228</f>
        <v>110400</v>
      </c>
      <c r="AF228" s="8" t="n">
        <f aca="false">D228</f>
        <v>7</v>
      </c>
      <c r="AG228" s="9" t="n">
        <f aca="false">E228*0.85</f>
        <v>24.735</v>
      </c>
      <c r="AH228" s="9" t="n">
        <f aca="false">F228*0.9</f>
        <v>2.7</v>
      </c>
      <c r="AI228" s="9" t="n">
        <f aca="false">G228</f>
        <v>0.5</v>
      </c>
      <c r="AJ228" s="9" t="n">
        <f aca="false">H228*1.2</f>
        <v>408</v>
      </c>
      <c r="AK228" s="8" t="n">
        <f aca="false">I228</f>
        <v>1</v>
      </c>
      <c r="AL228" s="8" t="n">
        <f aca="false">J228</f>
        <v>0</v>
      </c>
      <c r="AM228" s="9" t="n">
        <f aca="false">K228</f>
        <v>0.09</v>
      </c>
      <c r="AN228" s="6" t="n">
        <f aca="false">$R$2 + SUMPRODUCT(AD228:AM228,$S$2:$AB$2)</f>
        <v>-0.716758175</v>
      </c>
      <c r="AO228" s="6" t="n">
        <f aca="false">1/(1+EXP(-AN228))</f>
        <v>0.328107253952086</v>
      </c>
    </row>
    <row r="229" customFormat="false" ht="15" hidden="false" customHeight="false" outlineLevel="0" collapsed="false">
      <c r="A229" s="3" t="s">
        <v>293</v>
      </c>
      <c r="B229" s="4" t="n">
        <v>66</v>
      </c>
      <c r="C229" s="4" t="n">
        <v>75200</v>
      </c>
      <c r="D229" s="4" t="n">
        <v>3</v>
      </c>
      <c r="E229" s="5" t="n">
        <v>32.1</v>
      </c>
      <c r="F229" s="4" t="n">
        <v>1</v>
      </c>
      <c r="G229" s="5" t="n">
        <v>0.39</v>
      </c>
      <c r="H229" s="4" t="n">
        <v>348</v>
      </c>
      <c r="I229" s="4" t="n">
        <v>1</v>
      </c>
      <c r="J229" s="4" t="n">
        <v>1</v>
      </c>
      <c r="K229" s="5" t="n">
        <v>0.26</v>
      </c>
      <c r="L229" s="4" t="n">
        <v>0</v>
      </c>
      <c r="M229" s="6" t="n">
        <f aca="false">$R$2 + SUMPRODUCT(B229:K229,$S$2:$AB$2)</f>
        <v>-1.76269943</v>
      </c>
      <c r="N229" s="6" t="n">
        <f aca="false">1/(1+EXP(-M229))</f>
        <v>0.146452577512353</v>
      </c>
      <c r="O229" s="6" t="n">
        <f aca="false">IF(L229=1,N229,1-N229)</f>
        <v>0.853547422487647</v>
      </c>
      <c r="P229" s="6" t="n">
        <f aca="false">LN(O229)</f>
        <v>-0.158354175915489</v>
      </c>
      <c r="AD229" s="8" t="n">
        <f aca="false">B229</f>
        <v>66</v>
      </c>
      <c r="AE229" s="8" t="n">
        <f aca="false">C229</f>
        <v>75200</v>
      </c>
      <c r="AF229" s="8" t="n">
        <f aca="false">D229</f>
        <v>3</v>
      </c>
      <c r="AG229" s="9" t="n">
        <f aca="false">E229*0.85</f>
        <v>27.285</v>
      </c>
      <c r="AH229" s="9" t="n">
        <f aca="false">F229*0.9</f>
        <v>0.9</v>
      </c>
      <c r="AI229" s="9" t="n">
        <f aca="false">G229</f>
        <v>0.39</v>
      </c>
      <c r="AJ229" s="9" t="n">
        <f aca="false">H229*1.2</f>
        <v>417.6</v>
      </c>
      <c r="AK229" s="8" t="n">
        <f aca="false">I229</f>
        <v>1</v>
      </c>
      <c r="AL229" s="8" t="n">
        <f aca="false">J229</f>
        <v>1</v>
      </c>
      <c r="AM229" s="9" t="n">
        <f aca="false">K229</f>
        <v>0.26</v>
      </c>
      <c r="AN229" s="6" t="n">
        <f aca="false">$R$2 + SUMPRODUCT(AD229:AM229,$S$2:$AB$2)</f>
        <v>-2.239742425</v>
      </c>
      <c r="AO229" s="6" t="n">
        <f aca="false">1/(1+EXP(-AN229))</f>
        <v>0.0962379422758386</v>
      </c>
    </row>
    <row r="230" customFormat="false" ht="15" hidden="false" customHeight="false" outlineLevel="0" collapsed="false">
      <c r="A230" s="3" t="s">
        <v>294</v>
      </c>
      <c r="B230" s="4" t="n">
        <v>19</v>
      </c>
      <c r="C230" s="4" t="n">
        <v>52700</v>
      </c>
      <c r="D230" s="4" t="n">
        <v>8</v>
      </c>
      <c r="E230" s="5" t="n">
        <v>72.03</v>
      </c>
      <c r="F230" s="4" t="n">
        <v>3</v>
      </c>
      <c r="G230" s="5" t="n">
        <v>0.62</v>
      </c>
      <c r="H230" s="4" t="n">
        <v>182</v>
      </c>
      <c r="I230" s="4" t="n">
        <v>0</v>
      </c>
      <c r="J230" s="4" t="n">
        <v>0</v>
      </c>
      <c r="K230" s="5" t="n">
        <v>0.38</v>
      </c>
      <c r="L230" s="4" t="n">
        <v>1</v>
      </c>
      <c r="M230" s="6" t="n">
        <f aca="false">$R$2 + SUMPRODUCT(B230:K230,$S$2:$AB$2)</f>
        <v>0.0930955500000001</v>
      </c>
      <c r="N230" s="6" t="n">
        <f aca="false">1/(1+EXP(-M230))</f>
        <v>0.523257092914019</v>
      </c>
      <c r="O230" s="6" t="n">
        <f aca="false">IF(L230=1,N230,1-N230)</f>
        <v>0.523257092914019</v>
      </c>
      <c r="P230" s="6" t="n">
        <f aca="false">LN(O230)</f>
        <v>-0.647682362250495</v>
      </c>
      <c r="AD230" s="8" t="n">
        <f aca="false">B230</f>
        <v>19</v>
      </c>
      <c r="AE230" s="8" t="n">
        <f aca="false">C230</f>
        <v>52700</v>
      </c>
      <c r="AF230" s="8" t="n">
        <f aca="false">D230</f>
        <v>8</v>
      </c>
      <c r="AG230" s="9" t="n">
        <f aca="false">E230*0.85</f>
        <v>61.2255</v>
      </c>
      <c r="AH230" s="9" t="n">
        <f aca="false">F230*0.9</f>
        <v>2.7</v>
      </c>
      <c r="AI230" s="9" t="n">
        <f aca="false">G230</f>
        <v>0.62</v>
      </c>
      <c r="AJ230" s="9" t="n">
        <f aca="false">H230*1.2</f>
        <v>218.4</v>
      </c>
      <c r="AK230" s="8" t="n">
        <f aca="false">I230</f>
        <v>0</v>
      </c>
      <c r="AL230" s="8" t="n">
        <f aca="false">J230</f>
        <v>0</v>
      </c>
      <c r="AM230" s="9" t="n">
        <f aca="false">K230</f>
        <v>0.38</v>
      </c>
      <c r="AN230" s="6" t="n">
        <f aca="false">$R$2 + SUMPRODUCT(AD230:AM230,$S$2:$AB$2)</f>
        <v>-0.2964513985</v>
      </c>
      <c r="AO230" s="6" t="n">
        <f aca="false">1/(1+EXP(-AN230))</f>
        <v>0.426425196630439</v>
      </c>
    </row>
    <row r="231" customFormat="false" ht="15" hidden="false" customHeight="false" outlineLevel="0" collapsed="false">
      <c r="A231" s="3" t="s">
        <v>295</v>
      </c>
      <c r="B231" s="4" t="n">
        <v>19</v>
      </c>
      <c r="C231" s="4" t="n">
        <v>37800</v>
      </c>
      <c r="D231" s="4" t="n">
        <v>8</v>
      </c>
      <c r="E231" s="5" t="n">
        <v>11.69</v>
      </c>
      <c r="F231" s="4" t="n">
        <v>3</v>
      </c>
      <c r="G231" s="5" t="n">
        <v>0.22</v>
      </c>
      <c r="H231" s="4" t="n">
        <v>147</v>
      </c>
      <c r="I231" s="4" t="n">
        <v>1</v>
      </c>
      <c r="J231" s="4" t="n">
        <v>1</v>
      </c>
      <c r="K231" s="5" t="n">
        <v>0.15</v>
      </c>
      <c r="L231" s="4" t="n">
        <v>0</v>
      </c>
      <c r="M231" s="6" t="n">
        <f aca="false">$R$2 + SUMPRODUCT(B231:K231,$S$2:$AB$2)</f>
        <v>-0.42669066</v>
      </c>
      <c r="N231" s="6" t="n">
        <f aca="false">1/(1+EXP(-M231))</f>
        <v>0.394916847656111</v>
      </c>
      <c r="O231" s="6" t="n">
        <f aca="false">IF(L231=1,N231,1-N231)</f>
        <v>0.605083152343889</v>
      </c>
      <c r="P231" s="6" t="n">
        <f aca="false">LN(O231)</f>
        <v>-0.502389388504842</v>
      </c>
      <c r="AD231" s="8" t="n">
        <f aca="false">B231</f>
        <v>19</v>
      </c>
      <c r="AE231" s="8" t="n">
        <f aca="false">C231</f>
        <v>37800</v>
      </c>
      <c r="AF231" s="8" t="n">
        <f aca="false">D231</f>
        <v>8</v>
      </c>
      <c r="AG231" s="9" t="n">
        <f aca="false">E231*0.85</f>
        <v>9.9365</v>
      </c>
      <c r="AH231" s="9" t="n">
        <f aca="false">F231*0.9</f>
        <v>2.7</v>
      </c>
      <c r="AI231" s="9" t="n">
        <f aca="false">G231</f>
        <v>0.22</v>
      </c>
      <c r="AJ231" s="9" t="n">
        <f aca="false">H231*1.2</f>
        <v>176.4</v>
      </c>
      <c r="AK231" s="8" t="n">
        <f aca="false">I231</f>
        <v>1</v>
      </c>
      <c r="AL231" s="8" t="n">
        <f aca="false">J231</f>
        <v>1</v>
      </c>
      <c r="AM231" s="9" t="n">
        <f aca="false">K231</f>
        <v>0.15</v>
      </c>
      <c r="AN231" s="6" t="n">
        <f aca="false">$R$2 + SUMPRODUCT(AD231:AM231,$S$2:$AB$2)</f>
        <v>-0.6543495255</v>
      </c>
      <c r="AO231" s="6" t="n">
        <f aca="false">1/(1+EXP(-AN231))</f>
        <v>0.342010052150629</v>
      </c>
    </row>
    <row r="232" customFormat="false" ht="15" hidden="false" customHeight="false" outlineLevel="0" collapsed="false">
      <c r="A232" s="3" t="s">
        <v>296</v>
      </c>
      <c r="B232" s="4" t="n">
        <v>45</v>
      </c>
      <c r="C232" s="4" t="n">
        <v>26100</v>
      </c>
      <c r="D232" s="4" t="n">
        <v>7</v>
      </c>
      <c r="E232" s="5" t="n">
        <v>90.32</v>
      </c>
      <c r="F232" s="4" t="n">
        <v>3</v>
      </c>
      <c r="G232" s="5" t="n">
        <v>0.39</v>
      </c>
      <c r="H232" s="4" t="n">
        <v>176</v>
      </c>
      <c r="I232" s="4" t="n">
        <v>0</v>
      </c>
      <c r="J232" s="4" t="n">
        <v>1</v>
      </c>
      <c r="K232" s="5" t="n">
        <v>0.44</v>
      </c>
      <c r="L232" s="4" t="n">
        <v>1</v>
      </c>
      <c r="M232" s="6" t="n">
        <f aca="false">$R$2 + SUMPRODUCT(B232:K232,$S$2:$AB$2)</f>
        <v>-0.40923823</v>
      </c>
      <c r="N232" s="6" t="n">
        <f aca="false">1/(1+EXP(-M232))</f>
        <v>0.399094793365367</v>
      </c>
      <c r="O232" s="6" t="n">
        <f aca="false">IF(L232=1,N232,1-N232)</f>
        <v>0.399094793365367</v>
      </c>
      <c r="P232" s="6" t="n">
        <f aca="false">LN(O232)</f>
        <v>-0.918556312952496</v>
      </c>
      <c r="AD232" s="8" t="n">
        <f aca="false">B232</f>
        <v>45</v>
      </c>
      <c r="AE232" s="8" t="n">
        <f aca="false">C232</f>
        <v>26100</v>
      </c>
      <c r="AF232" s="8" t="n">
        <f aca="false">D232</f>
        <v>7</v>
      </c>
      <c r="AG232" s="9" t="n">
        <f aca="false">E232*0.85</f>
        <v>76.772</v>
      </c>
      <c r="AH232" s="9" t="n">
        <f aca="false">F232*0.9</f>
        <v>2.7</v>
      </c>
      <c r="AI232" s="9" t="n">
        <f aca="false">G232</f>
        <v>0.39</v>
      </c>
      <c r="AJ232" s="9" t="n">
        <f aca="false">H232*1.2</f>
        <v>211.2</v>
      </c>
      <c r="AK232" s="8" t="n">
        <f aca="false">I232</f>
        <v>0</v>
      </c>
      <c r="AL232" s="8" t="n">
        <f aca="false">J232</f>
        <v>1</v>
      </c>
      <c r="AM232" s="9" t="n">
        <f aca="false">K232</f>
        <v>0.44</v>
      </c>
      <c r="AN232" s="6" t="n">
        <f aca="false">$R$2 + SUMPRODUCT(AD232:AM232,$S$2:$AB$2)</f>
        <v>-0.828729013999999</v>
      </c>
      <c r="AO232" s="6" t="n">
        <f aca="false">1/(1+EXP(-AN232))</f>
        <v>0.303913880531729</v>
      </c>
    </row>
    <row r="233" customFormat="false" ht="15" hidden="false" customHeight="false" outlineLevel="0" collapsed="false">
      <c r="A233" s="3" t="s">
        <v>297</v>
      </c>
      <c r="B233" s="4" t="n">
        <v>40</v>
      </c>
      <c r="C233" s="4" t="n">
        <v>58700</v>
      </c>
      <c r="D233" s="4" t="n">
        <v>5</v>
      </c>
      <c r="E233" s="5" t="n">
        <v>61.05</v>
      </c>
      <c r="F233" s="4" t="n">
        <v>2</v>
      </c>
      <c r="G233" s="5" t="n">
        <v>0.35</v>
      </c>
      <c r="H233" s="4" t="n">
        <v>163</v>
      </c>
      <c r="I233" s="4" t="n">
        <v>1</v>
      </c>
      <c r="J233" s="4" t="n">
        <v>1</v>
      </c>
      <c r="K233" s="5" t="n">
        <v>0.1</v>
      </c>
      <c r="L233" s="4" t="n">
        <v>0</v>
      </c>
      <c r="M233" s="6" t="n">
        <f aca="false">$R$2 + SUMPRODUCT(B233:K233,$S$2:$AB$2)</f>
        <v>-0.1425972</v>
      </c>
      <c r="N233" s="6" t="n">
        <f aca="false">1/(1+EXP(-M233))</f>
        <v>0.464410985043911</v>
      </c>
      <c r="O233" s="6" t="n">
        <f aca="false">IF(L233=1,N233,1-N233)</f>
        <v>0.535589014956089</v>
      </c>
      <c r="P233" s="6" t="n">
        <f aca="false">LN(O233)</f>
        <v>-0.624388175166171</v>
      </c>
      <c r="AD233" s="8" t="n">
        <f aca="false">B233</f>
        <v>40</v>
      </c>
      <c r="AE233" s="8" t="n">
        <f aca="false">C233</f>
        <v>58700</v>
      </c>
      <c r="AF233" s="8" t="n">
        <f aca="false">D233</f>
        <v>5</v>
      </c>
      <c r="AG233" s="9" t="n">
        <f aca="false">E233*0.85</f>
        <v>51.8925</v>
      </c>
      <c r="AH233" s="9" t="n">
        <f aca="false">F233*0.9</f>
        <v>1.8</v>
      </c>
      <c r="AI233" s="9" t="n">
        <f aca="false">G233</f>
        <v>0.35</v>
      </c>
      <c r="AJ233" s="9" t="n">
        <f aca="false">H233*1.2</f>
        <v>195.6</v>
      </c>
      <c r="AK233" s="8" t="n">
        <f aca="false">I233</f>
        <v>1</v>
      </c>
      <c r="AL233" s="8" t="n">
        <f aca="false">J233</f>
        <v>1</v>
      </c>
      <c r="AM233" s="9" t="n">
        <f aca="false">K233</f>
        <v>0.1</v>
      </c>
      <c r="AN233" s="6" t="n">
        <f aca="false">$R$2 + SUMPRODUCT(AD233:AM233,$S$2:$AB$2)</f>
        <v>-0.4765332975</v>
      </c>
      <c r="AO233" s="6" t="n">
        <f aca="false">1/(1+EXP(-AN233))</f>
        <v>0.383071070014468</v>
      </c>
    </row>
    <row r="234" customFormat="false" ht="15" hidden="false" customHeight="false" outlineLevel="0" collapsed="false">
      <c r="A234" s="3" t="s">
        <v>298</v>
      </c>
      <c r="B234" s="4" t="n">
        <v>54</v>
      </c>
      <c r="C234" s="4" t="n">
        <v>41400</v>
      </c>
      <c r="D234" s="4" t="n">
        <v>4</v>
      </c>
      <c r="E234" s="5" t="n">
        <v>146.08</v>
      </c>
      <c r="F234" s="4" t="n">
        <v>3</v>
      </c>
      <c r="G234" s="5" t="n">
        <v>0.09</v>
      </c>
      <c r="H234" s="4" t="n">
        <v>175</v>
      </c>
      <c r="I234" s="4" t="n">
        <v>1</v>
      </c>
      <c r="J234" s="4" t="n">
        <v>0</v>
      </c>
      <c r="K234" s="5" t="n">
        <v>0.09</v>
      </c>
      <c r="L234" s="4" t="n">
        <v>0</v>
      </c>
      <c r="M234" s="6" t="n">
        <f aca="false">$R$2 + SUMPRODUCT(B234:K234,$S$2:$AB$2)</f>
        <v>-0.772047999999999</v>
      </c>
      <c r="N234" s="6" t="n">
        <f aca="false">1/(1+EXP(-M234))</f>
        <v>0.31603624933956</v>
      </c>
      <c r="O234" s="6" t="n">
        <f aca="false">IF(L234=1,N234,1-N234)</f>
        <v>0.68396375066044</v>
      </c>
      <c r="P234" s="6" t="n">
        <f aca="false">LN(O234)</f>
        <v>-0.379850358874397</v>
      </c>
      <c r="AD234" s="8" t="n">
        <f aca="false">B234</f>
        <v>54</v>
      </c>
      <c r="AE234" s="8" t="n">
        <f aca="false">C234</f>
        <v>41400</v>
      </c>
      <c r="AF234" s="8" t="n">
        <f aca="false">D234</f>
        <v>4</v>
      </c>
      <c r="AG234" s="9" t="n">
        <f aca="false">E234*0.85</f>
        <v>124.168</v>
      </c>
      <c r="AH234" s="9" t="n">
        <f aca="false">F234*0.9</f>
        <v>2.7</v>
      </c>
      <c r="AI234" s="9" t="n">
        <f aca="false">G234</f>
        <v>0.09</v>
      </c>
      <c r="AJ234" s="9" t="n">
        <f aca="false">H234*1.2</f>
        <v>210</v>
      </c>
      <c r="AK234" s="8" t="n">
        <f aca="false">I234</f>
        <v>1</v>
      </c>
      <c r="AL234" s="8" t="n">
        <f aca="false">J234</f>
        <v>0</v>
      </c>
      <c r="AM234" s="9" t="n">
        <f aca="false">K234</f>
        <v>0.09</v>
      </c>
      <c r="AN234" s="6" t="n">
        <f aca="false">$R$2 + SUMPRODUCT(AD234:AM234,$S$2:$AB$2)</f>
        <v>-1.302740796</v>
      </c>
      <c r="AO234" s="6" t="n">
        <f aca="false">1/(1+EXP(-AN234))</f>
        <v>0.213704106851373</v>
      </c>
    </row>
    <row r="235" customFormat="false" ht="15" hidden="false" customHeight="false" outlineLevel="0" collapsed="false">
      <c r="A235" s="3" t="s">
        <v>299</v>
      </c>
      <c r="B235" s="4" t="n">
        <v>49</v>
      </c>
      <c r="C235" s="4" t="n">
        <v>29400</v>
      </c>
      <c r="D235" s="4" t="n">
        <v>0</v>
      </c>
      <c r="E235" s="5" t="n">
        <v>122.7</v>
      </c>
      <c r="F235" s="4" t="n">
        <v>6</v>
      </c>
      <c r="G235" s="5" t="n">
        <v>0.56</v>
      </c>
      <c r="H235" s="4" t="n">
        <v>47</v>
      </c>
      <c r="I235" s="4" t="n">
        <v>0</v>
      </c>
      <c r="J235" s="4" t="n">
        <v>0</v>
      </c>
      <c r="K235" s="5" t="n">
        <v>0.09</v>
      </c>
      <c r="L235" s="4" t="n">
        <v>1</v>
      </c>
      <c r="M235" s="6" t="n">
        <f aca="false">$R$2 + SUMPRODUCT(B235:K235,$S$2:$AB$2)</f>
        <v>-0.92421917</v>
      </c>
      <c r="N235" s="6" t="n">
        <f aca="false">1/(1+EXP(-M235))</f>
        <v>0.284098989887146</v>
      </c>
      <c r="O235" s="6" t="n">
        <f aca="false">IF(L235=1,N235,1-N235)</f>
        <v>0.284098989887146</v>
      </c>
      <c r="P235" s="6" t="n">
        <f aca="false">LN(O235)</f>
        <v>-1.25843254561179</v>
      </c>
      <c r="AD235" s="8" t="n">
        <f aca="false">B235</f>
        <v>49</v>
      </c>
      <c r="AE235" s="8" t="n">
        <f aca="false">C235</f>
        <v>29400</v>
      </c>
      <c r="AF235" s="8" t="n">
        <f aca="false">D235</f>
        <v>0</v>
      </c>
      <c r="AG235" s="9" t="n">
        <f aca="false">E235*0.85</f>
        <v>104.295</v>
      </c>
      <c r="AH235" s="9" t="n">
        <f aca="false">F235*0.9</f>
        <v>5.4</v>
      </c>
      <c r="AI235" s="9" t="n">
        <f aca="false">G235</f>
        <v>0.56</v>
      </c>
      <c r="AJ235" s="9" t="n">
        <f aca="false">H235*1.2</f>
        <v>56.4</v>
      </c>
      <c r="AK235" s="8" t="n">
        <f aca="false">I235</f>
        <v>0</v>
      </c>
      <c r="AL235" s="8" t="n">
        <f aca="false">J235</f>
        <v>0</v>
      </c>
      <c r="AM235" s="9" t="n">
        <f aca="false">K235</f>
        <v>0.09</v>
      </c>
      <c r="AN235" s="6" t="n">
        <f aca="false">$R$2 + SUMPRODUCT(AD235:AM235,$S$2:$AB$2)</f>
        <v>-1.295216535</v>
      </c>
      <c r="AO235" s="6" t="n">
        <f aca="false">1/(1+EXP(-AN235))</f>
        <v>0.214971166980831</v>
      </c>
    </row>
    <row r="236" customFormat="false" ht="15" hidden="false" customHeight="false" outlineLevel="0" collapsed="false">
      <c r="A236" s="3" t="s">
        <v>300</v>
      </c>
      <c r="B236" s="4" t="n">
        <v>50</v>
      </c>
      <c r="C236" s="4" t="n">
        <v>43400</v>
      </c>
      <c r="D236" s="4" t="n">
        <v>4</v>
      </c>
      <c r="E236" s="5" t="n">
        <v>60.46</v>
      </c>
      <c r="F236" s="4" t="n">
        <v>2</v>
      </c>
      <c r="G236" s="5" t="n">
        <v>0.73</v>
      </c>
      <c r="H236" s="4" t="n">
        <v>256</v>
      </c>
      <c r="I236" s="4" t="n">
        <v>0</v>
      </c>
      <c r="J236" s="4" t="n">
        <v>1</v>
      </c>
      <c r="K236" s="5" t="n">
        <v>0.2</v>
      </c>
      <c r="L236" s="4" t="n">
        <v>0</v>
      </c>
      <c r="M236" s="6" t="n">
        <f aca="false">$R$2 + SUMPRODUCT(B236:K236,$S$2:$AB$2)</f>
        <v>-1.32584439</v>
      </c>
      <c r="N236" s="6" t="n">
        <f aca="false">1/(1+EXP(-M236))</f>
        <v>0.209847582635348</v>
      </c>
      <c r="O236" s="6" t="n">
        <f aca="false">IF(L236=1,N236,1-N236)</f>
        <v>0.790152417364652</v>
      </c>
      <c r="P236" s="6" t="n">
        <f aca="false">LN(O236)</f>
        <v>-0.235529418757342</v>
      </c>
      <c r="AD236" s="8" t="n">
        <f aca="false">B236</f>
        <v>50</v>
      </c>
      <c r="AE236" s="8" t="n">
        <f aca="false">C236</f>
        <v>43400</v>
      </c>
      <c r="AF236" s="8" t="n">
        <f aca="false">D236</f>
        <v>4</v>
      </c>
      <c r="AG236" s="9" t="n">
        <f aca="false">E236*0.85</f>
        <v>51.391</v>
      </c>
      <c r="AH236" s="9" t="n">
        <f aca="false">F236*0.9</f>
        <v>1.8</v>
      </c>
      <c r="AI236" s="9" t="n">
        <f aca="false">G236</f>
        <v>0.73</v>
      </c>
      <c r="AJ236" s="9" t="n">
        <f aca="false">H236*1.2</f>
        <v>307.2</v>
      </c>
      <c r="AK236" s="8" t="n">
        <f aca="false">I236</f>
        <v>0</v>
      </c>
      <c r="AL236" s="8" t="n">
        <f aca="false">J236</f>
        <v>1</v>
      </c>
      <c r="AM236" s="9" t="n">
        <f aca="false">K236</f>
        <v>0.2</v>
      </c>
      <c r="AN236" s="6" t="n">
        <f aca="false">$R$2 + SUMPRODUCT(AD236:AM236,$S$2:$AB$2)</f>
        <v>-1.765690467</v>
      </c>
      <c r="AO236" s="6" t="n">
        <f aca="false">1/(1+EXP(-AN236))</f>
        <v>0.146079080506628</v>
      </c>
    </row>
    <row r="237" customFormat="false" ht="15" hidden="false" customHeight="false" outlineLevel="0" collapsed="false">
      <c r="A237" s="3" t="s">
        <v>301</v>
      </c>
      <c r="B237" s="4" t="n">
        <v>18</v>
      </c>
      <c r="C237" s="4" t="n">
        <v>35500</v>
      </c>
      <c r="D237" s="4" t="n">
        <v>2</v>
      </c>
      <c r="E237" s="5" t="n">
        <v>62.34</v>
      </c>
      <c r="F237" s="4" t="n">
        <v>4</v>
      </c>
      <c r="G237" s="5" t="n">
        <v>0.39</v>
      </c>
      <c r="H237" s="4" t="n">
        <v>174</v>
      </c>
      <c r="I237" s="4" t="n">
        <v>1</v>
      </c>
      <c r="J237" s="4" t="n">
        <v>1</v>
      </c>
      <c r="K237" s="5" t="n">
        <v>0.26</v>
      </c>
      <c r="L237" s="4" t="n">
        <v>0</v>
      </c>
      <c r="M237" s="6" t="n">
        <f aca="false">$R$2 + SUMPRODUCT(B237:K237,$S$2:$AB$2)</f>
        <v>-0.55502551</v>
      </c>
      <c r="N237" s="6" t="n">
        <f aca="false">1/(1+EXP(-M237))</f>
        <v>0.364699240150394</v>
      </c>
      <c r="O237" s="6" t="n">
        <f aca="false">IF(L237=1,N237,1-N237)</f>
        <v>0.635300759849606</v>
      </c>
      <c r="P237" s="6" t="n">
        <f aca="false">LN(O237)</f>
        <v>-0.453656754661875</v>
      </c>
      <c r="AD237" s="8" t="n">
        <f aca="false">B237</f>
        <v>18</v>
      </c>
      <c r="AE237" s="8" t="n">
        <f aca="false">C237</f>
        <v>35500</v>
      </c>
      <c r="AF237" s="8" t="n">
        <f aca="false">D237</f>
        <v>2</v>
      </c>
      <c r="AG237" s="9" t="n">
        <f aca="false">E237*0.85</f>
        <v>52.989</v>
      </c>
      <c r="AH237" s="9" t="n">
        <f aca="false">F237*0.9</f>
        <v>3.6</v>
      </c>
      <c r="AI237" s="9" t="n">
        <f aca="false">G237</f>
        <v>0.39</v>
      </c>
      <c r="AJ237" s="9" t="n">
        <f aca="false">H237*1.2</f>
        <v>208.8</v>
      </c>
      <c r="AK237" s="8" t="n">
        <f aca="false">I237</f>
        <v>1</v>
      </c>
      <c r="AL237" s="8" t="n">
        <f aca="false">J237</f>
        <v>1</v>
      </c>
      <c r="AM237" s="9" t="n">
        <f aca="false">K237</f>
        <v>0.26</v>
      </c>
      <c r="AN237" s="6" t="n">
        <f aca="false">$R$2 + SUMPRODUCT(AD237:AM237,$S$2:$AB$2)</f>
        <v>-0.927441093</v>
      </c>
      <c r="AO237" s="6" t="n">
        <f aca="false">1/(1+EXP(-AN237))</f>
        <v>0.283444149511283</v>
      </c>
    </row>
    <row r="238" customFormat="false" ht="15" hidden="false" customHeight="false" outlineLevel="0" collapsed="false">
      <c r="A238" s="3" t="s">
        <v>302</v>
      </c>
      <c r="B238" s="4" t="n">
        <v>36</v>
      </c>
      <c r="C238" s="4" t="n">
        <v>85400</v>
      </c>
      <c r="D238" s="4" t="n">
        <v>4</v>
      </c>
      <c r="E238" s="5" t="n">
        <v>89.89</v>
      </c>
      <c r="F238" s="4" t="n">
        <v>4</v>
      </c>
      <c r="G238" s="5" t="n">
        <v>0.62</v>
      </c>
      <c r="H238" s="4" t="n">
        <v>103</v>
      </c>
      <c r="I238" s="4" t="n">
        <v>1</v>
      </c>
      <c r="J238" s="4" t="n">
        <v>1</v>
      </c>
      <c r="K238" s="5" t="n">
        <v>0.26</v>
      </c>
      <c r="L238" s="4" t="n">
        <v>1</v>
      </c>
      <c r="M238" s="6" t="n">
        <f aca="false">$R$2 + SUMPRODUCT(B238:K238,$S$2:$AB$2)</f>
        <v>1.92186997</v>
      </c>
      <c r="N238" s="6" t="n">
        <f aca="false">1/(1+EXP(-M238))</f>
        <v>0.872346814549274</v>
      </c>
      <c r="O238" s="6" t="n">
        <f aca="false">IF(L238=1,N238,1-N238)</f>
        <v>0.872346814549274</v>
      </c>
      <c r="P238" s="6" t="n">
        <f aca="false">LN(O238)</f>
        <v>-0.136568211037061</v>
      </c>
      <c r="AD238" s="8" t="n">
        <f aca="false">B238</f>
        <v>36</v>
      </c>
      <c r="AE238" s="8" t="n">
        <f aca="false">C238</f>
        <v>85400</v>
      </c>
      <c r="AF238" s="8" t="n">
        <f aca="false">D238</f>
        <v>4</v>
      </c>
      <c r="AG238" s="9" t="n">
        <f aca="false">E238*0.85</f>
        <v>76.4065</v>
      </c>
      <c r="AH238" s="9" t="n">
        <f aca="false">F238*0.9</f>
        <v>3.6</v>
      </c>
      <c r="AI238" s="9" t="n">
        <f aca="false">G238</f>
        <v>0.62</v>
      </c>
      <c r="AJ238" s="9" t="n">
        <f aca="false">H238*1.2</f>
        <v>123.6</v>
      </c>
      <c r="AK238" s="8" t="n">
        <f aca="false">I238</f>
        <v>1</v>
      </c>
      <c r="AL238" s="8" t="n">
        <f aca="false">J238</f>
        <v>1</v>
      </c>
      <c r="AM238" s="9" t="n">
        <f aca="false">K238</f>
        <v>0.26</v>
      </c>
      <c r="AN238" s="6" t="n">
        <f aca="false">$R$2 + SUMPRODUCT(AD238:AM238,$S$2:$AB$2)</f>
        <v>1.5757061145</v>
      </c>
      <c r="AO238" s="6" t="n">
        <f aca="false">1/(1+EXP(-AN238))</f>
        <v>0.8285955391866</v>
      </c>
    </row>
    <row r="239" customFormat="false" ht="15" hidden="false" customHeight="false" outlineLevel="0" collapsed="false">
      <c r="A239" s="3" t="s">
        <v>303</v>
      </c>
      <c r="B239" s="4" t="n">
        <v>19</v>
      </c>
      <c r="C239" s="4" t="n">
        <v>70900</v>
      </c>
      <c r="D239" s="4" t="n">
        <v>8</v>
      </c>
      <c r="E239" s="5" t="n">
        <v>107.58</v>
      </c>
      <c r="F239" s="4" t="n">
        <v>3</v>
      </c>
      <c r="G239" s="5" t="n">
        <v>0.08</v>
      </c>
      <c r="H239" s="4" t="n">
        <v>121</v>
      </c>
      <c r="I239" s="4" t="n">
        <v>1</v>
      </c>
      <c r="J239" s="4" t="n">
        <v>0</v>
      </c>
      <c r="K239" s="5" t="n">
        <v>0.55</v>
      </c>
      <c r="L239" s="4" t="n">
        <v>0</v>
      </c>
      <c r="M239" s="6" t="n">
        <f aca="false">$R$2 + SUMPRODUCT(B239:K239,$S$2:$AB$2)</f>
        <v>1.36755097</v>
      </c>
      <c r="N239" s="6" t="n">
        <f aca="false">1/(1+EXP(-M239))</f>
        <v>0.796984187747322</v>
      </c>
      <c r="O239" s="6" t="n">
        <f aca="false">IF(L239=1,N239,1-N239)</f>
        <v>0.203015812252678</v>
      </c>
      <c r="P239" s="6" t="n">
        <f aca="false">LN(O239)</f>
        <v>-1.59447141010351</v>
      </c>
      <c r="AD239" s="8" t="n">
        <f aca="false">B239</f>
        <v>19</v>
      </c>
      <c r="AE239" s="8" t="n">
        <f aca="false">C239</f>
        <v>70900</v>
      </c>
      <c r="AF239" s="8" t="n">
        <f aca="false">D239</f>
        <v>8</v>
      </c>
      <c r="AG239" s="9" t="n">
        <f aca="false">E239*0.85</f>
        <v>91.443</v>
      </c>
      <c r="AH239" s="9" t="n">
        <f aca="false">F239*0.9</f>
        <v>2.7</v>
      </c>
      <c r="AI239" s="9" t="n">
        <f aca="false">G239</f>
        <v>0.08</v>
      </c>
      <c r="AJ239" s="9" t="n">
        <f aca="false">H239*1.2</f>
        <v>145.2</v>
      </c>
      <c r="AK239" s="8" t="n">
        <f aca="false">I239</f>
        <v>1</v>
      </c>
      <c r="AL239" s="8" t="n">
        <f aca="false">J239</f>
        <v>0</v>
      </c>
      <c r="AM239" s="9" t="n">
        <f aca="false">K239</f>
        <v>0.55</v>
      </c>
      <c r="AN239" s="6" t="n">
        <f aca="false">$R$2 + SUMPRODUCT(AD239:AM239,$S$2:$AB$2)</f>
        <v>0.976620149</v>
      </c>
      <c r="AO239" s="6" t="n">
        <f aca="false">1/(1+EXP(-AN239))</f>
        <v>0.726437065494635</v>
      </c>
    </row>
    <row r="240" customFormat="false" ht="15" hidden="false" customHeight="false" outlineLevel="0" collapsed="false">
      <c r="A240" s="3" t="s">
        <v>304</v>
      </c>
      <c r="B240" s="4" t="n">
        <v>61</v>
      </c>
      <c r="C240" s="4" t="n">
        <v>54900</v>
      </c>
      <c r="D240" s="4" t="n">
        <v>5</v>
      </c>
      <c r="E240" s="5" t="n">
        <v>24.05</v>
      </c>
      <c r="F240" s="4" t="n">
        <v>4</v>
      </c>
      <c r="G240" s="5" t="n">
        <v>0.41</v>
      </c>
      <c r="H240" s="4" t="n">
        <v>350</v>
      </c>
      <c r="I240" s="4" t="n">
        <v>0</v>
      </c>
      <c r="J240" s="4" t="n">
        <v>1</v>
      </c>
      <c r="K240" s="5" t="n">
        <v>0.59</v>
      </c>
      <c r="L240" s="4" t="n">
        <v>0</v>
      </c>
      <c r="M240" s="6" t="n">
        <f aca="false">$R$2 + SUMPRODUCT(B240:K240,$S$2:$AB$2)</f>
        <v>-1.88141177</v>
      </c>
      <c r="N240" s="6" t="n">
        <f aca="false">1/(1+EXP(-M240))</f>
        <v>0.13222679887285</v>
      </c>
      <c r="O240" s="6" t="n">
        <f aca="false">IF(L240=1,N240,1-N240)</f>
        <v>0.86777320112715</v>
      </c>
      <c r="P240" s="6" t="n">
        <f aca="false">LN(O240)</f>
        <v>-0.141824887487732</v>
      </c>
      <c r="AD240" s="8" t="n">
        <f aca="false">B240</f>
        <v>61</v>
      </c>
      <c r="AE240" s="8" t="n">
        <f aca="false">C240</f>
        <v>54900</v>
      </c>
      <c r="AF240" s="8" t="n">
        <f aca="false">D240</f>
        <v>5</v>
      </c>
      <c r="AG240" s="9" t="n">
        <f aca="false">E240*0.85</f>
        <v>20.4425</v>
      </c>
      <c r="AH240" s="9" t="n">
        <f aca="false">F240*0.9</f>
        <v>3.6</v>
      </c>
      <c r="AI240" s="9" t="n">
        <f aca="false">G240</f>
        <v>0.41</v>
      </c>
      <c r="AJ240" s="9" t="n">
        <f aca="false">H240*1.2</f>
        <v>420</v>
      </c>
      <c r="AK240" s="8" t="n">
        <f aca="false">I240</f>
        <v>0</v>
      </c>
      <c r="AL240" s="8" t="n">
        <f aca="false">J240</f>
        <v>1</v>
      </c>
      <c r="AM240" s="9" t="n">
        <f aca="false">K240</f>
        <v>0.59</v>
      </c>
      <c r="AN240" s="6" t="n">
        <f aca="false">$R$2 + SUMPRODUCT(AD240:AM240,$S$2:$AB$2)</f>
        <v>-2.3793565175</v>
      </c>
      <c r="AO240" s="6" t="n">
        <f aca="false">1/(1+EXP(-AN240))</f>
        <v>0.0847604712787926</v>
      </c>
    </row>
    <row r="241" customFormat="false" ht="15" hidden="false" customHeight="false" outlineLevel="0" collapsed="false">
      <c r="A241" s="3" t="s">
        <v>305</v>
      </c>
      <c r="B241" s="4" t="n">
        <v>43</v>
      </c>
      <c r="C241" s="4" t="n">
        <v>81600</v>
      </c>
      <c r="D241" s="4" t="n">
        <v>8</v>
      </c>
      <c r="E241" s="5" t="n">
        <v>20.34</v>
      </c>
      <c r="F241" s="4" t="n">
        <v>3</v>
      </c>
      <c r="G241" s="5" t="n">
        <v>0.16</v>
      </c>
      <c r="H241" s="4" t="n">
        <v>145</v>
      </c>
      <c r="I241" s="4" t="n">
        <v>0</v>
      </c>
      <c r="J241" s="4" t="n">
        <v>1</v>
      </c>
      <c r="K241" s="5" t="n">
        <v>0.49</v>
      </c>
      <c r="L241" s="4" t="n">
        <v>0</v>
      </c>
      <c r="M241" s="6" t="n">
        <f aca="false">$R$2 + SUMPRODUCT(B241:K241,$S$2:$AB$2)</f>
        <v>-0.00506724999999975</v>
      </c>
      <c r="N241" s="6" t="n">
        <f aca="false">1/(1+EXP(-M241))</f>
        <v>0.498733190210658</v>
      </c>
      <c r="O241" s="6" t="n">
        <f aca="false">IF(L241=1,N241,1-N241)</f>
        <v>0.501266809789343</v>
      </c>
      <c r="P241" s="6" t="n">
        <f aca="false">LN(O241)</f>
        <v>-0.690616765184332</v>
      </c>
      <c r="AD241" s="8" t="n">
        <f aca="false">B241</f>
        <v>43</v>
      </c>
      <c r="AE241" s="8" t="n">
        <f aca="false">C241</f>
        <v>81600</v>
      </c>
      <c r="AF241" s="8" t="n">
        <f aca="false">D241</f>
        <v>8</v>
      </c>
      <c r="AG241" s="9" t="n">
        <f aca="false">E241*0.85</f>
        <v>17.289</v>
      </c>
      <c r="AH241" s="9" t="n">
        <f aca="false">F241*0.9</f>
        <v>2.7</v>
      </c>
      <c r="AI241" s="9" t="n">
        <f aca="false">G241</f>
        <v>0.16</v>
      </c>
      <c r="AJ241" s="9" t="n">
        <f aca="false">H241*1.2</f>
        <v>174</v>
      </c>
      <c r="AK241" s="8" t="n">
        <f aca="false">I241</f>
        <v>0</v>
      </c>
      <c r="AL241" s="8" t="n">
        <f aca="false">J241</f>
        <v>1</v>
      </c>
      <c r="AM241" s="9" t="n">
        <f aca="false">K241</f>
        <v>0.49</v>
      </c>
      <c r="AN241" s="6" t="n">
        <f aca="false">$R$2 + SUMPRODUCT(AD241:AM241,$S$2:$AB$2)</f>
        <v>-0.247852233</v>
      </c>
      <c r="AO241" s="6" t="n">
        <f aca="false">1/(1+EXP(-AN241))</f>
        <v>0.438352208175586</v>
      </c>
    </row>
    <row r="242" customFormat="false" ht="15" hidden="false" customHeight="false" outlineLevel="0" collapsed="false">
      <c r="A242" s="3" t="s">
        <v>306</v>
      </c>
      <c r="B242" s="4" t="n">
        <v>49</v>
      </c>
      <c r="C242" s="4" t="n">
        <v>56400</v>
      </c>
      <c r="D242" s="4" t="n">
        <v>6</v>
      </c>
      <c r="E242" s="5" t="n">
        <v>49.45</v>
      </c>
      <c r="F242" s="4" t="n">
        <v>3</v>
      </c>
      <c r="G242" s="5" t="n">
        <v>0.82</v>
      </c>
      <c r="H242" s="4" t="n">
        <v>42</v>
      </c>
      <c r="I242" s="4" t="n">
        <v>0</v>
      </c>
      <c r="J242" s="4" t="n">
        <v>0</v>
      </c>
      <c r="K242" s="5" t="n">
        <v>0.25</v>
      </c>
      <c r="L242" s="4" t="n">
        <v>0</v>
      </c>
      <c r="M242" s="6" t="n">
        <f aca="false">$R$2 + SUMPRODUCT(B242:K242,$S$2:$AB$2)</f>
        <v>0.13919232</v>
      </c>
      <c r="N242" s="6" t="n">
        <f aca="false">1/(1+EXP(-M242))</f>
        <v>0.534742005682965</v>
      </c>
      <c r="O242" s="6" t="n">
        <f aca="false">IF(L242=1,N242,1-N242)</f>
        <v>0.465257994317035</v>
      </c>
      <c r="P242" s="6" t="n">
        <f aca="false">LN(O242)</f>
        <v>-0.765163200765843</v>
      </c>
      <c r="AD242" s="8" t="n">
        <f aca="false">B242</f>
        <v>49</v>
      </c>
      <c r="AE242" s="8" t="n">
        <f aca="false">C242</f>
        <v>56400</v>
      </c>
      <c r="AF242" s="8" t="n">
        <f aca="false">D242</f>
        <v>6</v>
      </c>
      <c r="AG242" s="9" t="n">
        <f aca="false">E242*0.85</f>
        <v>42.0325</v>
      </c>
      <c r="AH242" s="9" t="n">
        <f aca="false">F242*0.9</f>
        <v>2.7</v>
      </c>
      <c r="AI242" s="9" t="n">
        <f aca="false">G242</f>
        <v>0.82</v>
      </c>
      <c r="AJ242" s="9" t="n">
        <f aca="false">H242*1.2</f>
        <v>50.4</v>
      </c>
      <c r="AK242" s="8" t="n">
        <f aca="false">I242</f>
        <v>0</v>
      </c>
      <c r="AL242" s="8" t="n">
        <f aca="false">J242</f>
        <v>0</v>
      </c>
      <c r="AM242" s="9" t="n">
        <f aca="false">K242</f>
        <v>0.25</v>
      </c>
      <c r="AN242" s="6" t="n">
        <f aca="false">$R$2 + SUMPRODUCT(AD242:AM242,$S$2:$AB$2)</f>
        <v>-0.0436330575000001</v>
      </c>
      <c r="AO242" s="6" t="n">
        <f aca="false">1/(1+EXP(-AN242))</f>
        <v>0.489093465931451</v>
      </c>
    </row>
    <row r="243" customFormat="false" ht="15" hidden="false" customHeight="false" outlineLevel="0" collapsed="false">
      <c r="A243" s="3" t="s">
        <v>307</v>
      </c>
      <c r="B243" s="4" t="n">
        <v>23</v>
      </c>
      <c r="C243" s="4" t="n">
        <v>39500</v>
      </c>
      <c r="D243" s="4" t="n">
        <v>4</v>
      </c>
      <c r="E243" s="5" t="n">
        <v>79.57</v>
      </c>
      <c r="F243" s="4" t="n">
        <v>6</v>
      </c>
      <c r="G243" s="5" t="n">
        <v>0.15</v>
      </c>
      <c r="H243" s="4" t="n">
        <v>29</v>
      </c>
      <c r="I243" s="4" t="n">
        <v>1</v>
      </c>
      <c r="J243" s="4" t="n">
        <v>1</v>
      </c>
      <c r="K243" s="5" t="n">
        <v>0.44</v>
      </c>
      <c r="L243" s="4" t="n">
        <v>1</v>
      </c>
      <c r="M243" s="6" t="n">
        <f aca="false">$R$2 + SUMPRODUCT(B243:K243,$S$2:$AB$2)</f>
        <v>0.96460498</v>
      </c>
      <c r="N243" s="6" t="n">
        <f aca="false">1/(1+EXP(-M243))</f>
        <v>0.724042850863886</v>
      </c>
      <c r="O243" s="6" t="n">
        <f aca="false">IF(L243=1,N243,1-N243)</f>
        <v>0.724042850863886</v>
      </c>
      <c r="P243" s="6" t="n">
        <f aca="false">LN(O243)</f>
        <v>-0.322904702071774</v>
      </c>
      <c r="AD243" s="8" t="n">
        <f aca="false">B243</f>
        <v>23</v>
      </c>
      <c r="AE243" s="8" t="n">
        <f aca="false">C243</f>
        <v>39500</v>
      </c>
      <c r="AF243" s="8" t="n">
        <f aca="false">D243</f>
        <v>4</v>
      </c>
      <c r="AG243" s="9" t="n">
        <f aca="false">E243*0.85</f>
        <v>67.6345</v>
      </c>
      <c r="AH243" s="9" t="n">
        <f aca="false">F243*0.9</f>
        <v>5.4</v>
      </c>
      <c r="AI243" s="9" t="n">
        <f aca="false">G243</f>
        <v>0.15</v>
      </c>
      <c r="AJ243" s="9" t="n">
        <f aca="false">H243*1.2</f>
        <v>34.8</v>
      </c>
      <c r="AK243" s="8" t="n">
        <f aca="false">I243</f>
        <v>1</v>
      </c>
      <c r="AL243" s="8" t="n">
        <f aca="false">J243</f>
        <v>1</v>
      </c>
      <c r="AM243" s="9" t="n">
        <f aca="false">K243</f>
        <v>0.44</v>
      </c>
      <c r="AN243" s="6" t="n">
        <f aca="false">$R$2 + SUMPRODUCT(AD243:AM243,$S$2:$AB$2)</f>
        <v>0.7012412085</v>
      </c>
      <c r="AO243" s="6" t="n">
        <f aca="false">1/(1+EXP(-AN243))</f>
        <v>0.668462906599746</v>
      </c>
    </row>
    <row r="244" customFormat="false" ht="15" hidden="false" customHeight="false" outlineLevel="0" collapsed="false">
      <c r="A244" s="3" t="s">
        <v>308</v>
      </c>
      <c r="B244" s="4" t="n">
        <v>49</v>
      </c>
      <c r="C244" s="4" t="n">
        <v>82400</v>
      </c>
      <c r="D244" s="4" t="n">
        <v>9</v>
      </c>
      <c r="E244" s="5" t="n">
        <v>77.42</v>
      </c>
      <c r="F244" s="4" t="n">
        <v>7</v>
      </c>
      <c r="G244" s="5" t="n">
        <v>0.19</v>
      </c>
      <c r="H244" s="4" t="n">
        <v>273</v>
      </c>
      <c r="I244" s="4" t="n">
        <v>0</v>
      </c>
      <c r="J244" s="4" t="n">
        <v>1</v>
      </c>
      <c r="K244" s="5" t="n">
        <v>0.21</v>
      </c>
      <c r="L244" s="4" t="n">
        <v>0</v>
      </c>
      <c r="M244" s="6" t="n">
        <f aca="false">$R$2 + SUMPRODUCT(B244:K244,$S$2:$AB$2)</f>
        <v>0.357586280000001</v>
      </c>
      <c r="N244" s="6" t="n">
        <f aca="false">1/(1+EXP(-M244))</f>
        <v>0.588456015192116</v>
      </c>
      <c r="O244" s="6" t="n">
        <f aca="false">IF(L244=1,N244,1-N244)</f>
        <v>0.411543984807884</v>
      </c>
      <c r="P244" s="6" t="n">
        <f aca="false">LN(O244)</f>
        <v>-0.887839375615179</v>
      </c>
      <c r="AD244" s="8" t="n">
        <f aca="false">B244</f>
        <v>49</v>
      </c>
      <c r="AE244" s="8" t="n">
        <f aca="false">C244</f>
        <v>82400</v>
      </c>
      <c r="AF244" s="8" t="n">
        <f aca="false">D244</f>
        <v>9</v>
      </c>
      <c r="AG244" s="9" t="n">
        <f aca="false">E244*0.85</f>
        <v>65.807</v>
      </c>
      <c r="AH244" s="9" t="n">
        <f aca="false">F244*0.9</f>
        <v>6.3</v>
      </c>
      <c r="AI244" s="9" t="n">
        <f aca="false">G244</f>
        <v>0.19</v>
      </c>
      <c r="AJ244" s="9" t="n">
        <f aca="false">H244*1.2</f>
        <v>327.6</v>
      </c>
      <c r="AK244" s="8" t="n">
        <f aca="false">I244</f>
        <v>0</v>
      </c>
      <c r="AL244" s="8" t="n">
        <f aca="false">J244</f>
        <v>1</v>
      </c>
      <c r="AM244" s="9" t="n">
        <f aca="false">K244</f>
        <v>0.21</v>
      </c>
      <c r="AN244" s="6" t="n">
        <f aca="false">$R$2 + SUMPRODUCT(AD244:AM244,$S$2:$AB$2)</f>
        <v>-0.194042049</v>
      </c>
      <c r="AO244" s="6" t="n">
        <f aca="false">1/(1+EXP(-AN244))</f>
        <v>0.451641127913103</v>
      </c>
    </row>
    <row r="245" customFormat="false" ht="15" hidden="false" customHeight="false" outlineLevel="0" collapsed="false">
      <c r="A245" s="3" t="s">
        <v>309</v>
      </c>
      <c r="B245" s="4" t="n">
        <v>21</v>
      </c>
      <c r="C245" s="4" t="n">
        <v>64700</v>
      </c>
      <c r="D245" s="4" t="n">
        <v>6</v>
      </c>
      <c r="E245" s="5" t="n">
        <v>91.74</v>
      </c>
      <c r="F245" s="4" t="n">
        <v>6</v>
      </c>
      <c r="G245" s="5" t="n">
        <v>0.35</v>
      </c>
      <c r="H245" s="4" t="n">
        <v>14</v>
      </c>
      <c r="I245" s="4" t="n">
        <v>0</v>
      </c>
      <c r="J245" s="4" t="n">
        <v>1</v>
      </c>
      <c r="K245" s="5" t="n">
        <v>0.06</v>
      </c>
      <c r="L245" s="4" t="n">
        <v>1</v>
      </c>
      <c r="M245" s="6" t="n">
        <f aca="false">$R$2 + SUMPRODUCT(B245:K245,$S$2:$AB$2)</f>
        <v>1.36723725</v>
      </c>
      <c r="N245" s="6" t="n">
        <f aca="false">1/(1+EXP(-M245))</f>
        <v>0.796933422998944</v>
      </c>
      <c r="O245" s="6" t="n">
        <f aca="false">IF(L245=1,N245,1-N245)</f>
        <v>0.796933422998944</v>
      </c>
      <c r="P245" s="6" t="n">
        <f aca="false">LN(O245)</f>
        <v>-0.22698413818684</v>
      </c>
      <c r="AD245" s="8" t="n">
        <f aca="false">B245</f>
        <v>21</v>
      </c>
      <c r="AE245" s="8" t="n">
        <f aca="false">C245</f>
        <v>64700</v>
      </c>
      <c r="AF245" s="8" t="n">
        <f aca="false">D245</f>
        <v>6</v>
      </c>
      <c r="AG245" s="9" t="n">
        <f aca="false">E245*0.85</f>
        <v>77.979</v>
      </c>
      <c r="AH245" s="9" t="n">
        <f aca="false">F245*0.9</f>
        <v>5.4</v>
      </c>
      <c r="AI245" s="9" t="n">
        <f aca="false">G245</f>
        <v>0.35</v>
      </c>
      <c r="AJ245" s="9" t="n">
        <f aca="false">H245*1.2</f>
        <v>16.8</v>
      </c>
      <c r="AK245" s="8" t="n">
        <f aca="false">I245</f>
        <v>0</v>
      </c>
      <c r="AL245" s="8" t="n">
        <f aca="false">J245</f>
        <v>1</v>
      </c>
      <c r="AM245" s="9" t="n">
        <f aca="false">K245</f>
        <v>0.06</v>
      </c>
      <c r="AN245" s="6" t="n">
        <f aca="false">$R$2 + SUMPRODUCT(AD245:AM245,$S$2:$AB$2)</f>
        <v>1.096625537</v>
      </c>
      <c r="AO245" s="6" t="n">
        <f aca="false">1/(1+EXP(-AN245))</f>
        <v>0.749627299068774</v>
      </c>
    </row>
    <row r="246" customFormat="false" ht="15" hidden="false" customHeight="false" outlineLevel="0" collapsed="false">
      <c r="A246" s="3" t="s">
        <v>310</v>
      </c>
      <c r="B246" s="4" t="n">
        <v>28</v>
      </c>
      <c r="C246" s="4" t="n">
        <v>36300</v>
      </c>
      <c r="D246" s="4" t="n">
        <v>6</v>
      </c>
      <c r="E246" s="5" t="n">
        <v>35.01</v>
      </c>
      <c r="F246" s="4" t="n">
        <v>2</v>
      </c>
      <c r="G246" s="5" t="n">
        <v>0.05</v>
      </c>
      <c r="H246" s="4" t="n">
        <v>306</v>
      </c>
      <c r="I246" s="4" t="n">
        <v>1</v>
      </c>
      <c r="J246" s="4" t="n">
        <v>0</v>
      </c>
      <c r="K246" s="5" t="n">
        <v>0.37</v>
      </c>
      <c r="L246" s="4" t="n">
        <v>0</v>
      </c>
      <c r="M246" s="6" t="n">
        <f aca="false">$R$2 + SUMPRODUCT(B246:K246,$S$2:$AB$2)</f>
        <v>-2.32084991</v>
      </c>
      <c r="N246" s="6" t="n">
        <f aca="false">1/(1+EXP(-M246))</f>
        <v>0.0894108384502768</v>
      </c>
      <c r="O246" s="6" t="n">
        <f aca="false">IF(L246=1,N246,1-N246)</f>
        <v>0.910589161549723</v>
      </c>
      <c r="P246" s="6" t="n">
        <f aca="false">LN(O246)</f>
        <v>-0.0936634586893841</v>
      </c>
      <c r="AD246" s="8" t="n">
        <f aca="false">B246</f>
        <v>28</v>
      </c>
      <c r="AE246" s="8" t="n">
        <f aca="false">C246</f>
        <v>36300</v>
      </c>
      <c r="AF246" s="8" t="n">
        <f aca="false">D246</f>
        <v>6</v>
      </c>
      <c r="AG246" s="9" t="n">
        <f aca="false">E246*0.85</f>
        <v>29.7585</v>
      </c>
      <c r="AH246" s="9" t="n">
        <f aca="false">F246*0.9</f>
        <v>1.8</v>
      </c>
      <c r="AI246" s="9" t="n">
        <f aca="false">G246</f>
        <v>0.05</v>
      </c>
      <c r="AJ246" s="9" t="n">
        <f aca="false">H246*1.2</f>
        <v>367.2</v>
      </c>
      <c r="AK246" s="8" t="n">
        <f aca="false">I246</f>
        <v>1</v>
      </c>
      <c r="AL246" s="8" t="n">
        <f aca="false">J246</f>
        <v>0</v>
      </c>
      <c r="AM246" s="9" t="n">
        <f aca="false">K246</f>
        <v>0.37</v>
      </c>
      <c r="AN246" s="6" t="n">
        <f aca="false">$R$2 + SUMPRODUCT(AD246:AM246,$S$2:$AB$2)</f>
        <v>-2.7669955095</v>
      </c>
      <c r="AO246" s="6" t="n">
        <f aca="false">1/(1+EXP(-AN246))</f>
        <v>0.0591339534397176</v>
      </c>
    </row>
    <row r="247" customFormat="false" ht="15" hidden="false" customHeight="false" outlineLevel="0" collapsed="false">
      <c r="A247" s="3" t="s">
        <v>311</v>
      </c>
      <c r="B247" s="4" t="n">
        <v>34</v>
      </c>
      <c r="C247" s="4" t="n">
        <v>51600</v>
      </c>
      <c r="D247" s="4" t="n">
        <v>4</v>
      </c>
      <c r="E247" s="5" t="n">
        <v>10</v>
      </c>
      <c r="F247" s="4" t="n">
        <v>1</v>
      </c>
      <c r="G247" s="5" t="n">
        <v>0.35</v>
      </c>
      <c r="H247" s="4" t="n">
        <v>313</v>
      </c>
      <c r="I247" s="4" t="n">
        <v>0</v>
      </c>
      <c r="J247" s="4" t="n">
        <v>1</v>
      </c>
      <c r="K247" s="5" t="n">
        <v>0.33</v>
      </c>
      <c r="L247" s="4" t="n">
        <v>0</v>
      </c>
      <c r="M247" s="6" t="n">
        <f aca="false">$R$2 + SUMPRODUCT(B247:K247,$S$2:$AB$2)</f>
        <v>-2.55425326</v>
      </c>
      <c r="N247" s="6" t="n">
        <f aca="false">1/(1+EXP(-M247))</f>
        <v>0.0721412666944183</v>
      </c>
      <c r="O247" s="6" t="n">
        <f aca="false">IF(L247=1,N247,1-N247)</f>
        <v>0.927858733305582</v>
      </c>
      <c r="P247" s="6" t="n">
        <f aca="false">LN(O247)</f>
        <v>-0.0748757848250476</v>
      </c>
      <c r="AD247" s="8" t="n">
        <f aca="false">B247</f>
        <v>34</v>
      </c>
      <c r="AE247" s="8" t="n">
        <f aca="false">C247</f>
        <v>51600</v>
      </c>
      <c r="AF247" s="8" t="n">
        <f aca="false">D247</f>
        <v>4</v>
      </c>
      <c r="AG247" s="9" t="n">
        <f aca="false">E247*0.85</f>
        <v>8.5</v>
      </c>
      <c r="AH247" s="9" t="n">
        <f aca="false">F247*0.9</f>
        <v>0.9</v>
      </c>
      <c r="AI247" s="9" t="n">
        <f aca="false">G247</f>
        <v>0.35</v>
      </c>
      <c r="AJ247" s="9" t="n">
        <f aca="false">H247*1.2</f>
        <v>375.6</v>
      </c>
      <c r="AK247" s="8" t="n">
        <f aca="false">I247</f>
        <v>0</v>
      </c>
      <c r="AL247" s="8" t="n">
        <f aca="false">J247</f>
        <v>1</v>
      </c>
      <c r="AM247" s="9" t="n">
        <f aca="false">K247</f>
        <v>0.33</v>
      </c>
      <c r="AN247" s="6" t="n">
        <f aca="false">$R$2 + SUMPRODUCT(AD247:AM247,$S$2:$AB$2)</f>
        <v>-2.94645986</v>
      </c>
      <c r="AO247" s="6" t="n">
        <f aca="false">1/(1+EXP(-AN247))</f>
        <v>0.0499040954083332</v>
      </c>
    </row>
    <row r="248" customFormat="false" ht="15" hidden="false" customHeight="false" outlineLevel="0" collapsed="false">
      <c r="A248" s="3" t="s">
        <v>312</v>
      </c>
      <c r="B248" s="4" t="n">
        <v>55</v>
      </c>
      <c r="C248" s="4" t="n">
        <v>39200</v>
      </c>
      <c r="D248" s="4" t="n">
        <v>2</v>
      </c>
      <c r="E248" s="5" t="n">
        <v>86.45</v>
      </c>
      <c r="F248" s="4" t="n">
        <v>5</v>
      </c>
      <c r="G248" s="5" t="n">
        <v>0.31</v>
      </c>
      <c r="H248" s="4" t="n">
        <v>189</v>
      </c>
      <c r="I248" s="4" t="n">
        <v>0</v>
      </c>
      <c r="J248" s="4" t="n">
        <v>0</v>
      </c>
      <c r="K248" s="5" t="n">
        <v>0.31</v>
      </c>
      <c r="L248" s="4" t="n">
        <v>0</v>
      </c>
      <c r="M248" s="6" t="n">
        <f aca="false">$R$2 + SUMPRODUCT(B248:K248,$S$2:$AB$2)</f>
        <v>-1.97278091</v>
      </c>
      <c r="N248" s="6" t="n">
        <f aca="false">1/(1+EXP(-M248))</f>
        <v>0.122090503230515</v>
      </c>
      <c r="O248" s="6" t="n">
        <f aca="false">IF(L248=1,N248,1-N248)</f>
        <v>0.877909496769485</v>
      </c>
      <c r="P248" s="6" t="n">
        <f aca="false">LN(O248)</f>
        <v>-0.130211769510255</v>
      </c>
      <c r="AD248" s="8" t="n">
        <f aca="false">B248</f>
        <v>55</v>
      </c>
      <c r="AE248" s="8" t="n">
        <f aca="false">C248</f>
        <v>39200</v>
      </c>
      <c r="AF248" s="8" t="n">
        <f aca="false">D248</f>
        <v>2</v>
      </c>
      <c r="AG248" s="9" t="n">
        <f aca="false">E248*0.85</f>
        <v>73.4825</v>
      </c>
      <c r="AH248" s="9" t="n">
        <f aca="false">F248*0.9</f>
        <v>4.5</v>
      </c>
      <c r="AI248" s="9" t="n">
        <f aca="false">G248</f>
        <v>0.31</v>
      </c>
      <c r="AJ248" s="9" t="n">
        <f aca="false">H248*1.2</f>
        <v>226.8</v>
      </c>
      <c r="AK248" s="8" t="n">
        <f aca="false">I248</f>
        <v>0</v>
      </c>
      <c r="AL248" s="8" t="n">
        <f aca="false">J248</f>
        <v>0</v>
      </c>
      <c r="AM248" s="9" t="n">
        <f aca="false">K248</f>
        <v>0.31</v>
      </c>
      <c r="AN248" s="6" t="n">
        <f aca="false">$R$2 + SUMPRODUCT(AD248:AM248,$S$2:$AB$2)</f>
        <v>-2.4226572375</v>
      </c>
      <c r="AO248" s="6" t="n">
        <f aca="false">1/(1+EXP(-AN248))</f>
        <v>0.0814612056704069</v>
      </c>
    </row>
    <row r="249" customFormat="false" ht="15" hidden="false" customHeight="false" outlineLevel="0" collapsed="false">
      <c r="A249" s="3" t="s">
        <v>313</v>
      </c>
      <c r="B249" s="4" t="n">
        <v>41</v>
      </c>
      <c r="C249" s="4" t="n">
        <v>30100</v>
      </c>
      <c r="D249" s="4" t="n">
        <v>6</v>
      </c>
      <c r="E249" s="5" t="n">
        <v>44.3</v>
      </c>
      <c r="F249" s="4" t="n">
        <v>2</v>
      </c>
      <c r="G249" s="5" t="n">
        <v>0.59</v>
      </c>
      <c r="H249" s="4" t="n">
        <v>360</v>
      </c>
      <c r="I249" s="4" t="n">
        <v>0</v>
      </c>
      <c r="J249" s="4" t="n">
        <v>0</v>
      </c>
      <c r="K249" s="5" t="n">
        <v>0.25</v>
      </c>
      <c r="L249" s="4" t="n">
        <v>0</v>
      </c>
      <c r="M249" s="6" t="n">
        <f aca="false">$R$2 + SUMPRODUCT(B249:K249,$S$2:$AB$2)</f>
        <v>-2.76958496</v>
      </c>
      <c r="N249" s="6" t="n">
        <f aca="false">1/(1+EXP(-M249))</f>
        <v>0.05899004821097</v>
      </c>
      <c r="O249" s="6" t="n">
        <f aca="false">IF(L249=1,N249,1-N249)</f>
        <v>0.94100995178903</v>
      </c>
      <c r="P249" s="6" t="n">
        <f aca="false">LN(O249)</f>
        <v>-0.0608015636938812</v>
      </c>
      <c r="AD249" s="8" t="n">
        <f aca="false">B249</f>
        <v>41</v>
      </c>
      <c r="AE249" s="8" t="n">
        <f aca="false">C249</f>
        <v>30100</v>
      </c>
      <c r="AF249" s="8" t="n">
        <f aca="false">D249</f>
        <v>6</v>
      </c>
      <c r="AG249" s="9" t="n">
        <f aca="false">E249*0.85</f>
        <v>37.655</v>
      </c>
      <c r="AH249" s="9" t="n">
        <f aca="false">F249*0.9</f>
        <v>1.8</v>
      </c>
      <c r="AI249" s="9" t="n">
        <f aca="false">G249</f>
        <v>0.59</v>
      </c>
      <c r="AJ249" s="9" t="n">
        <f aca="false">H249*1.2</f>
        <v>432</v>
      </c>
      <c r="AK249" s="8" t="n">
        <f aca="false">I249</f>
        <v>0</v>
      </c>
      <c r="AL249" s="8" t="n">
        <f aca="false">J249</f>
        <v>0</v>
      </c>
      <c r="AM249" s="9" t="n">
        <f aca="false">K249</f>
        <v>0.25</v>
      </c>
      <c r="AN249" s="6" t="n">
        <f aca="false">$R$2 + SUMPRODUCT(AD249:AM249,$S$2:$AB$2)</f>
        <v>-3.296635845</v>
      </c>
      <c r="AO249" s="6" t="n">
        <f aca="false">1/(1+EXP(-AN249))</f>
        <v>0.0356867800608265</v>
      </c>
    </row>
    <row r="250" customFormat="false" ht="15" hidden="false" customHeight="false" outlineLevel="0" collapsed="false">
      <c r="A250" s="3" t="s">
        <v>314</v>
      </c>
      <c r="B250" s="4" t="n">
        <v>22</v>
      </c>
      <c r="C250" s="4" t="n">
        <v>71700</v>
      </c>
      <c r="D250" s="4" t="n">
        <v>9</v>
      </c>
      <c r="E250" s="5" t="n">
        <v>14.54</v>
      </c>
      <c r="F250" s="4" t="n">
        <v>5</v>
      </c>
      <c r="G250" s="5" t="n">
        <v>0.58</v>
      </c>
      <c r="H250" s="4" t="n">
        <v>295</v>
      </c>
      <c r="I250" s="4" t="n">
        <v>1</v>
      </c>
      <c r="J250" s="4" t="n">
        <v>1</v>
      </c>
      <c r="K250" s="5" t="n">
        <v>0.29</v>
      </c>
      <c r="L250" s="4" t="n">
        <v>0</v>
      </c>
      <c r="M250" s="6" t="n">
        <f aca="false">$R$2 + SUMPRODUCT(B250:K250,$S$2:$AB$2)</f>
        <v>0.67972957</v>
      </c>
      <c r="N250" s="6" t="n">
        <f aca="false">1/(1+EXP(-M250))</f>
        <v>0.663678337557928</v>
      </c>
      <c r="O250" s="6" t="n">
        <f aca="false">IF(L250=1,N250,1-N250)</f>
        <v>0.336321662442072</v>
      </c>
      <c r="P250" s="6" t="n">
        <f aca="false">LN(O250)</f>
        <v>-1.08968724826916</v>
      </c>
      <c r="AD250" s="8" t="n">
        <f aca="false">B250</f>
        <v>22</v>
      </c>
      <c r="AE250" s="8" t="n">
        <f aca="false">C250</f>
        <v>71700</v>
      </c>
      <c r="AF250" s="8" t="n">
        <f aca="false">D250</f>
        <v>9</v>
      </c>
      <c r="AG250" s="9" t="n">
        <f aca="false">E250*0.85</f>
        <v>12.359</v>
      </c>
      <c r="AH250" s="9" t="n">
        <f aca="false">F250*0.9</f>
        <v>4.5</v>
      </c>
      <c r="AI250" s="9" t="n">
        <f aca="false">G250</f>
        <v>0.58</v>
      </c>
      <c r="AJ250" s="9" t="n">
        <f aca="false">H250*1.2</f>
        <v>354</v>
      </c>
      <c r="AK250" s="8" t="n">
        <f aca="false">I250</f>
        <v>1</v>
      </c>
      <c r="AL250" s="8" t="n">
        <f aca="false">J250</f>
        <v>1</v>
      </c>
      <c r="AM250" s="9" t="n">
        <f aca="false">K250</f>
        <v>0.29</v>
      </c>
      <c r="AN250" s="6" t="n">
        <f aca="false">$R$2 + SUMPRODUCT(AD250:AM250,$S$2:$AB$2)</f>
        <v>0.252678697</v>
      </c>
      <c r="AO250" s="6" t="n">
        <f aca="false">1/(1+EXP(-AN250))</f>
        <v>0.562835709328162</v>
      </c>
    </row>
    <row r="251" customFormat="false" ht="15" hidden="false" customHeight="false" outlineLevel="0" collapsed="false">
      <c r="A251" s="3" t="s">
        <v>315</v>
      </c>
      <c r="B251" s="4" t="n">
        <v>69</v>
      </c>
      <c r="C251" s="4" t="n">
        <v>89400</v>
      </c>
      <c r="D251" s="4" t="n">
        <v>3</v>
      </c>
      <c r="E251" s="5" t="n">
        <v>68.63</v>
      </c>
      <c r="F251" s="4" t="n">
        <v>3</v>
      </c>
      <c r="G251" s="5" t="n">
        <v>0.28</v>
      </c>
      <c r="H251" s="4" t="n">
        <v>183</v>
      </c>
      <c r="I251" s="4" t="n">
        <v>0</v>
      </c>
      <c r="J251" s="4" t="n">
        <v>1</v>
      </c>
      <c r="K251" s="5" t="n">
        <v>0.23</v>
      </c>
      <c r="L251" s="4" t="n">
        <v>0</v>
      </c>
      <c r="M251" s="6" t="n">
        <f aca="false">$R$2 + SUMPRODUCT(B251:K251,$S$2:$AB$2)</f>
        <v>-0.73877074</v>
      </c>
      <c r="N251" s="6" t="n">
        <f aca="false">1/(1+EXP(-M251))</f>
        <v>0.323273007541999</v>
      </c>
      <c r="O251" s="6" t="n">
        <f aca="false">IF(L251=1,N251,1-N251)</f>
        <v>0.676726992458001</v>
      </c>
      <c r="P251" s="6" t="n">
        <f aca="false">LN(O251)</f>
        <v>-0.3904873481724</v>
      </c>
      <c r="AD251" s="8" t="n">
        <f aca="false">B251</f>
        <v>69</v>
      </c>
      <c r="AE251" s="8" t="n">
        <f aca="false">C251</f>
        <v>89400</v>
      </c>
      <c r="AF251" s="8" t="n">
        <f aca="false">D251</f>
        <v>3</v>
      </c>
      <c r="AG251" s="9" t="n">
        <f aca="false">E251*0.85</f>
        <v>58.3355</v>
      </c>
      <c r="AH251" s="9" t="n">
        <f aca="false">F251*0.9</f>
        <v>2.7</v>
      </c>
      <c r="AI251" s="9" t="n">
        <f aca="false">G251</f>
        <v>0.28</v>
      </c>
      <c r="AJ251" s="9" t="n">
        <f aca="false">H251*1.2</f>
        <v>219.6</v>
      </c>
      <c r="AK251" s="8" t="n">
        <f aca="false">I251</f>
        <v>0</v>
      </c>
      <c r="AL251" s="8" t="n">
        <f aca="false">J251</f>
        <v>1</v>
      </c>
      <c r="AM251" s="9" t="n">
        <f aca="false">K251</f>
        <v>0.23</v>
      </c>
      <c r="AN251" s="6" t="n">
        <f aca="false">$R$2 + SUMPRODUCT(AD251:AM251,$S$2:$AB$2)</f>
        <v>-1.1226184585</v>
      </c>
      <c r="AO251" s="6" t="n">
        <f aca="false">1/(1+EXP(-AN251))</f>
        <v>0.245525909465538</v>
      </c>
    </row>
    <row r="252" customFormat="false" ht="15" hidden="false" customHeight="false" outlineLevel="0" collapsed="false">
      <c r="A252" s="3" t="s">
        <v>316</v>
      </c>
      <c r="B252" s="4" t="n">
        <v>51</v>
      </c>
      <c r="C252" s="4" t="n">
        <v>29800</v>
      </c>
      <c r="D252" s="4" t="n">
        <v>2</v>
      </c>
      <c r="E252" s="5" t="n">
        <v>84.83</v>
      </c>
      <c r="F252" s="4" t="n">
        <v>5</v>
      </c>
      <c r="G252" s="5" t="n">
        <v>0.24</v>
      </c>
      <c r="H252" s="4" t="n">
        <v>352</v>
      </c>
      <c r="I252" s="4" t="n">
        <v>0</v>
      </c>
      <c r="J252" s="4" t="n">
        <v>1</v>
      </c>
      <c r="K252" s="5" t="n">
        <v>0.24</v>
      </c>
      <c r="L252" s="4" t="n">
        <v>0</v>
      </c>
      <c r="M252" s="6" t="n">
        <f aca="false">$R$2 + SUMPRODUCT(B252:K252,$S$2:$AB$2)</f>
        <v>-2.66904565</v>
      </c>
      <c r="N252" s="6" t="n">
        <f aca="false">1/(1+EXP(-M252))</f>
        <v>0.0648247997104636</v>
      </c>
      <c r="O252" s="6" t="n">
        <f aca="false">IF(L252=1,N252,1-N252)</f>
        <v>0.935175200289537</v>
      </c>
      <c r="P252" s="6" t="n">
        <f aca="false">LN(O252)</f>
        <v>-0.0670213872580783</v>
      </c>
      <c r="AD252" s="8" t="n">
        <f aca="false">B252</f>
        <v>51</v>
      </c>
      <c r="AE252" s="8" t="n">
        <f aca="false">C252</f>
        <v>29800</v>
      </c>
      <c r="AF252" s="8" t="n">
        <f aca="false">D252</f>
        <v>2</v>
      </c>
      <c r="AG252" s="9" t="n">
        <f aca="false">E252*0.85</f>
        <v>72.1055</v>
      </c>
      <c r="AH252" s="9" t="n">
        <f aca="false">F252*0.9</f>
        <v>4.5</v>
      </c>
      <c r="AI252" s="9" t="n">
        <f aca="false">G252</f>
        <v>0.24</v>
      </c>
      <c r="AJ252" s="9" t="n">
        <f aca="false">H252*1.2</f>
        <v>422.4</v>
      </c>
      <c r="AK252" s="8" t="n">
        <f aca="false">I252</f>
        <v>0</v>
      </c>
      <c r="AL252" s="8" t="n">
        <f aca="false">J252</f>
        <v>1</v>
      </c>
      <c r="AM252" s="9" t="n">
        <f aca="false">K252</f>
        <v>0.24</v>
      </c>
      <c r="AN252" s="6" t="n">
        <f aca="false">$R$2 + SUMPRODUCT(AD252:AM252,$S$2:$AB$2)</f>
        <v>-3.3033685585</v>
      </c>
      <c r="AO252" s="6" t="n">
        <f aca="false">1/(1+EXP(-AN252))</f>
        <v>0.035455808526909</v>
      </c>
    </row>
    <row r="253" customFormat="false" ht="15" hidden="false" customHeight="false" outlineLevel="0" collapsed="false">
      <c r="A253" s="3" t="s">
        <v>317</v>
      </c>
      <c r="B253" s="4" t="n">
        <v>23</v>
      </c>
      <c r="C253" s="4" t="n">
        <v>65100</v>
      </c>
      <c r="D253" s="4" t="n">
        <v>4</v>
      </c>
      <c r="E253" s="5" t="n">
        <v>61.95</v>
      </c>
      <c r="F253" s="4" t="n">
        <v>5</v>
      </c>
      <c r="G253" s="5" t="n">
        <v>0.06</v>
      </c>
      <c r="H253" s="4" t="n">
        <v>36</v>
      </c>
      <c r="I253" s="4" t="n">
        <v>0</v>
      </c>
      <c r="J253" s="4" t="n">
        <v>1</v>
      </c>
      <c r="K253" s="5" t="n">
        <v>0.75</v>
      </c>
      <c r="L253" s="4" t="n">
        <v>1</v>
      </c>
      <c r="M253" s="6" t="n">
        <f aca="false">$R$2 + SUMPRODUCT(B253:K253,$S$2:$AB$2)</f>
        <v>0.639869360000001</v>
      </c>
      <c r="N253" s="6" t="n">
        <f aca="false">1/(1+EXP(-M253))</f>
        <v>0.654723928658804</v>
      </c>
      <c r="O253" s="6" t="n">
        <f aca="false">IF(L253=1,N253,1-N253)</f>
        <v>0.654723928658804</v>
      </c>
      <c r="P253" s="6" t="n">
        <f aca="false">LN(O253)</f>
        <v>-0.423541615159454</v>
      </c>
      <c r="AD253" s="8" t="n">
        <f aca="false">B253</f>
        <v>23</v>
      </c>
      <c r="AE253" s="8" t="n">
        <f aca="false">C253</f>
        <v>65100</v>
      </c>
      <c r="AF253" s="8" t="n">
        <f aca="false">D253</f>
        <v>4</v>
      </c>
      <c r="AG253" s="9" t="n">
        <f aca="false">E253*0.85</f>
        <v>52.6575</v>
      </c>
      <c r="AH253" s="9" t="n">
        <f aca="false">F253*0.9</f>
        <v>4.5</v>
      </c>
      <c r="AI253" s="9" t="n">
        <f aca="false">G253</f>
        <v>0.06</v>
      </c>
      <c r="AJ253" s="9" t="n">
        <f aca="false">H253*1.2</f>
        <v>43.2</v>
      </c>
      <c r="AK253" s="8" t="n">
        <f aca="false">I253</f>
        <v>0</v>
      </c>
      <c r="AL253" s="8" t="n">
        <f aca="false">J253</f>
        <v>1</v>
      </c>
      <c r="AM253" s="9" t="n">
        <f aca="false">K253</f>
        <v>0.75</v>
      </c>
      <c r="AN253" s="6" t="n">
        <f aca="false">$R$2 + SUMPRODUCT(AD253:AM253,$S$2:$AB$2)</f>
        <v>0.4155541075</v>
      </c>
      <c r="AO253" s="6" t="n">
        <f aca="false">1/(1+EXP(-AN253))</f>
        <v>0.602418898909225</v>
      </c>
    </row>
    <row r="254" customFormat="false" ht="15" hidden="false" customHeight="false" outlineLevel="0" collapsed="false">
      <c r="A254" s="3" t="s">
        <v>318</v>
      </c>
      <c r="B254" s="4" t="n">
        <v>39</v>
      </c>
      <c r="C254" s="4" t="n">
        <v>43300</v>
      </c>
      <c r="D254" s="4" t="n">
        <v>7</v>
      </c>
      <c r="E254" s="5" t="n">
        <v>53.55</v>
      </c>
      <c r="F254" s="4" t="n">
        <v>5</v>
      </c>
      <c r="G254" s="5" t="n">
        <v>0.55</v>
      </c>
      <c r="H254" s="4" t="n">
        <v>37</v>
      </c>
      <c r="I254" s="4" t="n">
        <v>1</v>
      </c>
      <c r="J254" s="4" t="n">
        <v>0</v>
      </c>
      <c r="K254" s="5" t="n">
        <v>0.18</v>
      </c>
      <c r="L254" s="4" t="n">
        <v>0</v>
      </c>
      <c r="M254" s="6" t="n">
        <f aca="false">$R$2 + SUMPRODUCT(B254:K254,$S$2:$AB$2)</f>
        <v>0.65766214</v>
      </c>
      <c r="N254" s="6" t="n">
        <f aca="false">1/(1+EXP(-M254))</f>
        <v>0.658735025263214</v>
      </c>
      <c r="O254" s="6" t="n">
        <f aca="false">IF(L254=1,N254,1-N254)</f>
        <v>0.341264974736786</v>
      </c>
      <c r="P254" s="6" t="n">
        <f aca="false">LN(O254)</f>
        <v>-1.07509605143319</v>
      </c>
      <c r="AD254" s="8" t="n">
        <f aca="false">B254</f>
        <v>39</v>
      </c>
      <c r="AE254" s="8" t="n">
        <f aca="false">C254</f>
        <v>43300</v>
      </c>
      <c r="AF254" s="8" t="n">
        <f aca="false">D254</f>
        <v>7</v>
      </c>
      <c r="AG254" s="9" t="n">
        <f aca="false">E254*0.85</f>
        <v>45.5175</v>
      </c>
      <c r="AH254" s="9" t="n">
        <f aca="false">F254*0.9</f>
        <v>4.5</v>
      </c>
      <c r="AI254" s="9" t="n">
        <f aca="false">G254</f>
        <v>0.55</v>
      </c>
      <c r="AJ254" s="9" t="n">
        <f aca="false">H254*1.2</f>
        <v>44.4</v>
      </c>
      <c r="AK254" s="8" t="n">
        <f aca="false">I254</f>
        <v>1</v>
      </c>
      <c r="AL254" s="8" t="n">
        <f aca="false">J254</f>
        <v>0</v>
      </c>
      <c r="AM254" s="9" t="n">
        <f aca="false">K254</f>
        <v>0.18</v>
      </c>
      <c r="AN254" s="6" t="n">
        <f aca="false">$R$2 + SUMPRODUCT(AD254:AM254,$S$2:$AB$2)</f>
        <v>0.4491208675</v>
      </c>
      <c r="AO254" s="6" t="n">
        <f aca="false">1/(1+EXP(-AN254))</f>
        <v>0.610430192001073</v>
      </c>
    </row>
    <row r="255" customFormat="false" ht="15" hidden="false" customHeight="false" outlineLevel="0" collapsed="false">
      <c r="A255" s="3" t="s">
        <v>319</v>
      </c>
      <c r="B255" s="4" t="n">
        <v>28</v>
      </c>
      <c r="C255" s="4" t="n">
        <v>46200</v>
      </c>
      <c r="D255" s="4" t="n">
        <v>4</v>
      </c>
      <c r="E255" s="5" t="n">
        <v>61.02</v>
      </c>
      <c r="F255" s="4" t="n">
        <v>6</v>
      </c>
      <c r="G255" s="5" t="n">
        <v>0.43</v>
      </c>
      <c r="H255" s="4" t="n">
        <v>14</v>
      </c>
      <c r="I255" s="4" t="n">
        <v>1</v>
      </c>
      <c r="J255" s="4" t="n">
        <v>0</v>
      </c>
      <c r="K255" s="5" t="n">
        <v>0.36</v>
      </c>
      <c r="L255" s="4" t="n">
        <v>1</v>
      </c>
      <c r="M255" s="6" t="n">
        <f aca="false">$R$2 + SUMPRODUCT(B255:K255,$S$2:$AB$2)</f>
        <v>0.63997507</v>
      </c>
      <c r="N255" s="6" t="n">
        <f aca="false">1/(1+EXP(-M255))</f>
        <v>0.654747825124013</v>
      </c>
      <c r="O255" s="6" t="n">
        <f aca="false">IF(L255=1,N255,1-N255)</f>
        <v>0.654747825124013</v>
      </c>
      <c r="P255" s="6" t="n">
        <f aca="false">LN(O255)</f>
        <v>-0.423505117289007</v>
      </c>
      <c r="AD255" s="8" t="n">
        <f aca="false">B255</f>
        <v>28</v>
      </c>
      <c r="AE255" s="8" t="n">
        <f aca="false">C255</f>
        <v>46200</v>
      </c>
      <c r="AF255" s="8" t="n">
        <f aca="false">D255</f>
        <v>4</v>
      </c>
      <c r="AG255" s="9" t="n">
        <f aca="false">E255*0.85</f>
        <v>51.867</v>
      </c>
      <c r="AH255" s="9" t="n">
        <f aca="false">F255*0.9</f>
        <v>5.4</v>
      </c>
      <c r="AI255" s="9" t="n">
        <f aca="false">G255</f>
        <v>0.43</v>
      </c>
      <c r="AJ255" s="9" t="n">
        <f aca="false">H255*1.2</f>
        <v>16.8</v>
      </c>
      <c r="AK255" s="8" t="n">
        <f aca="false">I255</f>
        <v>1</v>
      </c>
      <c r="AL255" s="8" t="n">
        <f aca="false">J255</f>
        <v>0</v>
      </c>
      <c r="AM255" s="9" t="n">
        <f aca="false">K255</f>
        <v>0.36</v>
      </c>
      <c r="AN255" s="6" t="n">
        <f aca="false">$R$2 + SUMPRODUCT(AD255:AM255,$S$2:$AB$2)</f>
        <v>0.431262621</v>
      </c>
      <c r="AO255" s="6" t="n">
        <f aca="false">1/(1+EXP(-AN255))</f>
        <v>0.60617513032897</v>
      </c>
    </row>
    <row r="256" customFormat="false" ht="15" hidden="false" customHeight="false" outlineLevel="0" collapsed="false">
      <c r="A256" s="3" t="s">
        <v>320</v>
      </c>
      <c r="B256" s="4" t="n">
        <v>65</v>
      </c>
      <c r="C256" s="4" t="n">
        <v>44300</v>
      </c>
      <c r="D256" s="4" t="n">
        <v>4</v>
      </c>
      <c r="E256" s="5" t="n">
        <v>55.74</v>
      </c>
      <c r="F256" s="4" t="n">
        <v>6</v>
      </c>
      <c r="G256" s="5" t="n">
        <v>0.3</v>
      </c>
      <c r="H256" s="4" t="n">
        <v>123</v>
      </c>
      <c r="I256" s="4" t="n">
        <v>0</v>
      </c>
      <c r="J256" s="4" t="n">
        <v>1</v>
      </c>
      <c r="K256" s="5" t="n">
        <v>0.31</v>
      </c>
      <c r="L256" s="4" t="n">
        <v>0</v>
      </c>
      <c r="M256" s="6" t="n">
        <f aca="false">$R$2 + SUMPRODUCT(B256:K256,$S$2:$AB$2)</f>
        <v>-0.89622005</v>
      </c>
      <c r="N256" s="6" t="n">
        <f aca="false">1/(1+EXP(-M256))</f>
        <v>0.289827897218086</v>
      </c>
      <c r="O256" s="6" t="n">
        <f aca="false">IF(L256=1,N256,1-N256)</f>
        <v>0.710172102781914</v>
      </c>
      <c r="P256" s="6" t="n">
        <f aca="false">LN(O256)</f>
        <v>-0.342247940036108</v>
      </c>
      <c r="AD256" s="8" t="n">
        <f aca="false">B256</f>
        <v>65</v>
      </c>
      <c r="AE256" s="8" t="n">
        <f aca="false">C256</f>
        <v>44300</v>
      </c>
      <c r="AF256" s="8" t="n">
        <f aca="false">D256</f>
        <v>4</v>
      </c>
      <c r="AG256" s="9" t="n">
        <f aca="false">E256*0.85</f>
        <v>47.379</v>
      </c>
      <c r="AH256" s="9" t="n">
        <f aca="false">F256*0.9</f>
        <v>5.4</v>
      </c>
      <c r="AI256" s="9" t="n">
        <f aca="false">G256</f>
        <v>0.3</v>
      </c>
      <c r="AJ256" s="9" t="n">
        <f aca="false">H256*1.2</f>
        <v>147.6</v>
      </c>
      <c r="AK256" s="8" t="n">
        <f aca="false">I256</f>
        <v>0</v>
      </c>
      <c r="AL256" s="8" t="n">
        <f aca="false">J256</f>
        <v>1</v>
      </c>
      <c r="AM256" s="9" t="n">
        <f aca="false">K256</f>
        <v>0.31</v>
      </c>
      <c r="AN256" s="6" t="n">
        <f aca="false">$R$2 + SUMPRODUCT(AD256:AM256,$S$2:$AB$2)</f>
        <v>-1.219817963</v>
      </c>
      <c r="AO256" s="6" t="n">
        <f aca="false">1/(1+EXP(-AN256))</f>
        <v>0.227968487290443</v>
      </c>
    </row>
    <row r="257" customFormat="false" ht="15" hidden="false" customHeight="false" outlineLevel="0" collapsed="false">
      <c r="A257" s="3" t="s">
        <v>321</v>
      </c>
      <c r="B257" s="4" t="n">
        <v>33</v>
      </c>
      <c r="C257" s="4" t="n">
        <v>39400</v>
      </c>
      <c r="D257" s="4" t="n">
        <v>8</v>
      </c>
      <c r="E257" s="5" t="n">
        <v>31.3</v>
      </c>
      <c r="F257" s="4" t="n">
        <v>5</v>
      </c>
      <c r="G257" s="5" t="n">
        <v>0.33</v>
      </c>
      <c r="H257" s="4" t="n">
        <v>83</v>
      </c>
      <c r="I257" s="4" t="n">
        <v>0</v>
      </c>
      <c r="J257" s="4" t="n">
        <v>1</v>
      </c>
      <c r="K257" s="5" t="n">
        <v>0.69</v>
      </c>
      <c r="L257" s="4" t="n">
        <v>1</v>
      </c>
      <c r="M257" s="6" t="n">
        <f aca="false">$R$2 + SUMPRODUCT(B257:K257,$S$2:$AB$2)</f>
        <v>0.384667100000001</v>
      </c>
      <c r="N257" s="6" t="n">
        <f aca="false">1/(1+EXP(-M257))</f>
        <v>0.594998255715941</v>
      </c>
      <c r="O257" s="6" t="n">
        <f aca="false">IF(L257=1,N257,1-N257)</f>
        <v>0.594998255715941</v>
      </c>
      <c r="P257" s="6" t="n">
        <f aca="false">LN(O257)</f>
        <v>-0.519196805010652</v>
      </c>
      <c r="AD257" s="8" t="n">
        <f aca="false">B257</f>
        <v>33</v>
      </c>
      <c r="AE257" s="8" t="n">
        <f aca="false">C257</f>
        <v>39400</v>
      </c>
      <c r="AF257" s="8" t="n">
        <f aca="false">D257</f>
        <v>8</v>
      </c>
      <c r="AG257" s="9" t="n">
        <f aca="false">E257*0.85</f>
        <v>26.605</v>
      </c>
      <c r="AH257" s="9" t="n">
        <f aca="false">F257*0.9</f>
        <v>4.5</v>
      </c>
      <c r="AI257" s="9" t="n">
        <f aca="false">G257</f>
        <v>0.33</v>
      </c>
      <c r="AJ257" s="9" t="n">
        <f aca="false">H257*1.2</f>
        <v>99.6</v>
      </c>
      <c r="AK257" s="8" t="n">
        <f aca="false">I257</f>
        <v>0</v>
      </c>
      <c r="AL257" s="8" t="n">
        <f aca="false">J257</f>
        <v>1</v>
      </c>
      <c r="AM257" s="9" t="n">
        <f aca="false">K257</f>
        <v>0.69</v>
      </c>
      <c r="AN257" s="6" t="n">
        <f aca="false">$R$2 + SUMPRODUCT(AD257:AM257,$S$2:$AB$2)</f>
        <v>0.167984865</v>
      </c>
      <c r="AO257" s="6" t="n">
        <f aca="false">1/(1+EXP(-AN257))</f>
        <v>0.541897736834626</v>
      </c>
    </row>
    <row r="258" customFormat="false" ht="15" hidden="false" customHeight="false" outlineLevel="0" collapsed="false">
      <c r="A258" s="3" t="s">
        <v>322</v>
      </c>
      <c r="B258" s="4" t="n">
        <v>50</v>
      </c>
      <c r="C258" s="4" t="n">
        <v>55900</v>
      </c>
      <c r="D258" s="4" t="n">
        <v>5</v>
      </c>
      <c r="E258" s="5" t="n">
        <v>47.13</v>
      </c>
      <c r="F258" s="4" t="n">
        <v>5</v>
      </c>
      <c r="G258" s="5" t="n">
        <v>0.28</v>
      </c>
      <c r="H258" s="4" t="n">
        <v>159</v>
      </c>
      <c r="I258" s="4" t="n">
        <v>1</v>
      </c>
      <c r="J258" s="4" t="n">
        <v>1</v>
      </c>
      <c r="K258" s="5" t="n">
        <v>0.31</v>
      </c>
      <c r="L258" s="4" t="n">
        <v>1</v>
      </c>
      <c r="M258" s="6" t="n">
        <f aca="false">$R$2 + SUMPRODUCT(B258:K258,$S$2:$AB$2)</f>
        <v>-0.0143535999999997</v>
      </c>
      <c r="N258" s="6" t="n">
        <f aca="false">1/(1+EXP(-M258))</f>
        <v>0.496411661607322</v>
      </c>
      <c r="O258" s="6" t="n">
        <f aca="false">IF(L258=1,N258,1-N258)</f>
        <v>0.496411661607322</v>
      </c>
      <c r="P258" s="6" t="n">
        <f aca="false">LN(O258)</f>
        <v>-0.700349733567992</v>
      </c>
      <c r="AD258" s="8" t="n">
        <f aca="false">B258</f>
        <v>50</v>
      </c>
      <c r="AE258" s="8" t="n">
        <f aca="false">C258</f>
        <v>55900</v>
      </c>
      <c r="AF258" s="8" t="n">
        <f aca="false">D258</f>
        <v>5</v>
      </c>
      <c r="AG258" s="9" t="n">
        <f aca="false">E258*0.85</f>
        <v>40.0605</v>
      </c>
      <c r="AH258" s="9" t="n">
        <f aca="false">F258*0.9</f>
        <v>4.5</v>
      </c>
      <c r="AI258" s="9" t="n">
        <f aca="false">G258</f>
        <v>0.28</v>
      </c>
      <c r="AJ258" s="9" t="n">
        <f aca="false">H258*1.2</f>
        <v>190.8</v>
      </c>
      <c r="AK258" s="8" t="n">
        <f aca="false">I258</f>
        <v>1</v>
      </c>
      <c r="AL258" s="8" t="n">
        <f aca="false">J258</f>
        <v>1</v>
      </c>
      <c r="AM258" s="9" t="n">
        <f aca="false">K258</f>
        <v>0.31</v>
      </c>
      <c r="AN258" s="6" t="n">
        <f aca="false">$R$2 + SUMPRODUCT(AD258:AM258,$S$2:$AB$2)</f>
        <v>-0.350454093499999</v>
      </c>
      <c r="AO258" s="6" t="n">
        <f aca="false">1/(1+EXP(-AN258))</f>
        <v>0.4132723089247</v>
      </c>
    </row>
    <row r="259" customFormat="false" ht="15" hidden="false" customHeight="false" outlineLevel="0" collapsed="false">
      <c r="A259" s="3" t="s">
        <v>323</v>
      </c>
      <c r="B259" s="4" t="n">
        <v>26</v>
      </c>
      <c r="C259" s="4" t="n">
        <v>40000</v>
      </c>
      <c r="D259" s="4" t="n">
        <v>8</v>
      </c>
      <c r="E259" s="5" t="n">
        <v>78.03</v>
      </c>
      <c r="F259" s="4" t="n">
        <v>2</v>
      </c>
      <c r="G259" s="5" t="n">
        <v>0.36</v>
      </c>
      <c r="H259" s="4" t="n">
        <v>329</v>
      </c>
      <c r="I259" s="4" t="n">
        <v>1</v>
      </c>
      <c r="J259" s="4" t="n">
        <v>1</v>
      </c>
      <c r="K259" s="5" t="n">
        <v>0.49</v>
      </c>
      <c r="L259" s="4" t="n">
        <v>0</v>
      </c>
      <c r="M259" s="6" t="n">
        <f aca="false">$R$2 + SUMPRODUCT(B259:K259,$S$2:$AB$2)</f>
        <v>-0.11100028</v>
      </c>
      <c r="N259" s="6" t="n">
        <f aca="false">1/(1+EXP(-M259))</f>
        <v>0.472278387466012</v>
      </c>
      <c r="O259" s="6" t="n">
        <f aca="false">IF(L259=1,N259,1-N259)</f>
        <v>0.527721612533988</v>
      </c>
      <c r="P259" s="6" t="n">
        <f aca="false">LN(O259)</f>
        <v>-0.639186383309158</v>
      </c>
      <c r="AD259" s="8" t="n">
        <f aca="false">B259</f>
        <v>26</v>
      </c>
      <c r="AE259" s="8" t="n">
        <f aca="false">C259</f>
        <v>40000</v>
      </c>
      <c r="AF259" s="8" t="n">
        <f aca="false">D259</f>
        <v>8</v>
      </c>
      <c r="AG259" s="9" t="n">
        <f aca="false">E259*0.85</f>
        <v>66.3255</v>
      </c>
      <c r="AH259" s="9" t="n">
        <f aca="false">F259*0.9</f>
        <v>1.8</v>
      </c>
      <c r="AI259" s="9" t="n">
        <f aca="false">G259</f>
        <v>0.36</v>
      </c>
      <c r="AJ259" s="9" t="n">
        <f aca="false">H259*1.2</f>
        <v>394.8</v>
      </c>
      <c r="AK259" s="8" t="n">
        <f aca="false">I259</f>
        <v>1</v>
      </c>
      <c r="AL259" s="8" t="n">
        <f aca="false">J259</f>
        <v>1</v>
      </c>
      <c r="AM259" s="9" t="n">
        <f aca="false">K259</f>
        <v>0.49</v>
      </c>
      <c r="AN259" s="6" t="n">
        <f aca="false">$R$2 + SUMPRODUCT(AD259:AM259,$S$2:$AB$2)</f>
        <v>-0.6703158285</v>
      </c>
      <c r="AO259" s="6" t="n">
        <f aca="false">1/(1+EXP(-AN259))</f>
        <v>0.338426125119827</v>
      </c>
    </row>
    <row r="260" customFormat="false" ht="15" hidden="false" customHeight="false" outlineLevel="0" collapsed="false">
      <c r="A260" s="3" t="s">
        <v>324</v>
      </c>
      <c r="B260" s="4" t="n">
        <v>23</v>
      </c>
      <c r="C260" s="4" t="n">
        <v>59900</v>
      </c>
      <c r="D260" s="4" t="n">
        <v>4</v>
      </c>
      <c r="E260" s="5" t="n">
        <v>73.04</v>
      </c>
      <c r="F260" s="4" t="n">
        <v>4</v>
      </c>
      <c r="G260" s="5" t="n">
        <v>0.27</v>
      </c>
      <c r="H260" s="4" t="n">
        <v>102</v>
      </c>
      <c r="I260" s="4" t="n">
        <v>1</v>
      </c>
      <c r="J260" s="4" t="n">
        <v>0</v>
      </c>
      <c r="K260" s="5" t="n">
        <v>0.39</v>
      </c>
      <c r="L260" s="4" t="n">
        <v>0</v>
      </c>
      <c r="M260" s="6" t="n">
        <f aca="false">$R$2 + SUMPRODUCT(B260:K260,$S$2:$AB$2)</f>
        <v>0.205318360000001</v>
      </c>
      <c r="N260" s="6" t="n">
        <f aca="false">1/(1+EXP(-M260))</f>
        <v>0.551150027655856</v>
      </c>
      <c r="O260" s="6" t="n">
        <f aca="false">IF(L260=1,N260,1-N260)</f>
        <v>0.448849972344144</v>
      </c>
      <c r="P260" s="6" t="n">
        <f aca="false">LN(O260)</f>
        <v>-0.801066584394359</v>
      </c>
      <c r="AD260" s="8" t="n">
        <f aca="false">B260</f>
        <v>23</v>
      </c>
      <c r="AE260" s="8" t="n">
        <f aca="false">C260</f>
        <v>59900</v>
      </c>
      <c r="AF260" s="8" t="n">
        <f aca="false">D260</f>
        <v>4</v>
      </c>
      <c r="AG260" s="9" t="n">
        <f aca="false">E260*0.85</f>
        <v>62.084</v>
      </c>
      <c r="AH260" s="9" t="n">
        <f aca="false">F260*0.9</f>
        <v>3.6</v>
      </c>
      <c r="AI260" s="9" t="n">
        <f aca="false">G260</f>
        <v>0.27</v>
      </c>
      <c r="AJ260" s="9" t="n">
        <f aca="false">H260*1.2</f>
        <v>122.4</v>
      </c>
      <c r="AK260" s="8" t="n">
        <f aca="false">I260</f>
        <v>1</v>
      </c>
      <c r="AL260" s="8" t="n">
        <f aca="false">J260</f>
        <v>0</v>
      </c>
      <c r="AM260" s="9" t="n">
        <f aca="false">K260</f>
        <v>0.39</v>
      </c>
      <c r="AN260" s="6" t="n">
        <f aca="false">$R$2 + SUMPRODUCT(AD260:AM260,$S$2:$AB$2)</f>
        <v>-0.105741987999999</v>
      </c>
      <c r="AO260" s="6" t="n">
        <f aca="false">1/(1+EXP(-AN260))</f>
        <v>0.473589107574163</v>
      </c>
    </row>
    <row r="261" customFormat="false" ht="15" hidden="false" customHeight="false" outlineLevel="0" collapsed="false">
      <c r="A261" s="3" t="s">
        <v>325</v>
      </c>
      <c r="B261" s="4" t="n">
        <v>33</v>
      </c>
      <c r="C261" s="4" t="n">
        <v>54100</v>
      </c>
      <c r="D261" s="4" t="n">
        <v>6</v>
      </c>
      <c r="E261" s="5" t="n">
        <v>69.2</v>
      </c>
      <c r="F261" s="4" t="n">
        <v>4</v>
      </c>
      <c r="G261" s="5" t="n">
        <v>0.58</v>
      </c>
      <c r="H261" s="4" t="n">
        <v>337</v>
      </c>
      <c r="I261" s="4" t="n">
        <v>1</v>
      </c>
      <c r="J261" s="4" t="n">
        <v>1</v>
      </c>
      <c r="K261" s="5" t="n">
        <v>0.26</v>
      </c>
      <c r="L261" s="4" t="n">
        <v>1</v>
      </c>
      <c r="M261" s="6" t="n">
        <f aca="false">$R$2 + SUMPRODUCT(B261:K261,$S$2:$AB$2)</f>
        <v>-0.0767786399999997</v>
      </c>
      <c r="N261" s="6" t="n">
        <f aca="false">1/(1+EXP(-M261))</f>
        <v>0.480814763756812</v>
      </c>
      <c r="O261" s="6" t="n">
        <f aca="false">IF(L261=1,N261,1-N261)</f>
        <v>0.480814763756812</v>
      </c>
      <c r="P261" s="6" t="n">
        <f aca="false">LN(O261)</f>
        <v>-0.732273189583635</v>
      </c>
      <c r="AD261" s="8" t="n">
        <f aca="false">B261</f>
        <v>33</v>
      </c>
      <c r="AE261" s="8" t="n">
        <f aca="false">C261</f>
        <v>54100</v>
      </c>
      <c r="AF261" s="8" t="n">
        <f aca="false">D261</f>
        <v>6</v>
      </c>
      <c r="AG261" s="9" t="n">
        <f aca="false">E261*0.85</f>
        <v>58.82</v>
      </c>
      <c r="AH261" s="9" t="n">
        <f aca="false">F261*0.9</f>
        <v>3.6</v>
      </c>
      <c r="AI261" s="9" t="n">
        <f aca="false">G261</f>
        <v>0.58</v>
      </c>
      <c r="AJ261" s="9" t="n">
        <f aca="false">H261*1.2</f>
        <v>404.4</v>
      </c>
      <c r="AK261" s="8" t="n">
        <f aca="false">I261</f>
        <v>1</v>
      </c>
      <c r="AL261" s="8" t="n">
        <f aca="false">J261</f>
        <v>1</v>
      </c>
      <c r="AM261" s="9" t="n">
        <f aca="false">K261</f>
        <v>0.26</v>
      </c>
      <c r="AN261" s="6" t="n">
        <f aca="false">$R$2 + SUMPRODUCT(AD261:AM261,$S$2:$AB$2)</f>
        <v>-0.650727579999999</v>
      </c>
      <c r="AO261" s="6" t="n">
        <f aca="false">1/(1+EXP(-AN261))</f>
        <v>0.342825597571633</v>
      </c>
    </row>
    <row r="262" customFormat="false" ht="15" hidden="false" customHeight="false" outlineLevel="0" collapsed="false">
      <c r="A262" s="3" t="s">
        <v>326</v>
      </c>
      <c r="B262" s="4" t="n">
        <v>46</v>
      </c>
      <c r="C262" s="4" t="n">
        <v>50700</v>
      </c>
      <c r="D262" s="4" t="n">
        <v>6</v>
      </c>
      <c r="E262" s="5" t="n">
        <v>40.12</v>
      </c>
      <c r="F262" s="4" t="n">
        <v>2</v>
      </c>
      <c r="G262" s="5" t="n">
        <v>0.62</v>
      </c>
      <c r="H262" s="4" t="n">
        <v>83</v>
      </c>
      <c r="I262" s="4" t="n">
        <v>1</v>
      </c>
      <c r="J262" s="4" t="n">
        <v>0</v>
      </c>
      <c r="K262" s="5" t="n">
        <v>0.68</v>
      </c>
      <c r="L262" s="4" t="n">
        <v>1</v>
      </c>
      <c r="M262" s="6" t="n">
        <f aca="false">$R$2 + SUMPRODUCT(B262:K262,$S$2:$AB$2)</f>
        <v>0.450093420000001</v>
      </c>
      <c r="N262" s="6" t="n">
        <f aca="false">1/(1+EXP(-M262))</f>
        <v>0.610661445161668</v>
      </c>
      <c r="O262" s="6" t="n">
        <f aca="false">IF(L262=1,N262,1-N262)</f>
        <v>0.610661445161668</v>
      </c>
      <c r="P262" s="6" t="n">
        <f aca="false">LN(O262)</f>
        <v>-0.493212572952179</v>
      </c>
      <c r="AD262" s="8" t="n">
        <f aca="false">B262</f>
        <v>46</v>
      </c>
      <c r="AE262" s="8" t="n">
        <f aca="false">C262</f>
        <v>50700</v>
      </c>
      <c r="AF262" s="8" t="n">
        <f aca="false">D262</f>
        <v>6</v>
      </c>
      <c r="AG262" s="9" t="n">
        <f aca="false">E262*0.85</f>
        <v>34.102</v>
      </c>
      <c r="AH262" s="9" t="n">
        <f aca="false">F262*0.9</f>
        <v>1.8</v>
      </c>
      <c r="AI262" s="9" t="n">
        <f aca="false">G262</f>
        <v>0.62</v>
      </c>
      <c r="AJ262" s="9" t="n">
        <f aca="false">H262*1.2</f>
        <v>99.6</v>
      </c>
      <c r="AK262" s="8" t="n">
        <f aca="false">I262</f>
        <v>1</v>
      </c>
      <c r="AL262" s="8" t="n">
        <f aca="false">J262</f>
        <v>0</v>
      </c>
      <c r="AM262" s="9" t="n">
        <f aca="false">K262</f>
        <v>0.68</v>
      </c>
      <c r="AN262" s="6" t="n">
        <f aca="false">$R$2 + SUMPRODUCT(AD262:AM262,$S$2:$AB$2)</f>
        <v>0.250458226</v>
      </c>
      <c r="AO262" s="6" t="n">
        <f aca="false">1/(1+EXP(-AN262))</f>
        <v>0.562289282706767</v>
      </c>
    </row>
    <row r="263" customFormat="false" ht="15" hidden="false" customHeight="false" outlineLevel="0" collapsed="false">
      <c r="A263" s="3" t="s">
        <v>327</v>
      </c>
      <c r="B263" s="4" t="n">
        <v>20</v>
      </c>
      <c r="C263" s="4" t="n">
        <v>38700</v>
      </c>
      <c r="D263" s="4" t="n">
        <v>3</v>
      </c>
      <c r="E263" s="5" t="n">
        <v>60.46</v>
      </c>
      <c r="F263" s="4" t="n">
        <v>3</v>
      </c>
      <c r="G263" s="5" t="n">
        <v>0.75</v>
      </c>
      <c r="H263" s="4" t="n">
        <v>44</v>
      </c>
      <c r="I263" s="4" t="n">
        <v>1</v>
      </c>
      <c r="J263" s="4" t="n">
        <v>1</v>
      </c>
      <c r="K263" s="5" t="n">
        <v>0.34</v>
      </c>
      <c r="L263" s="4" t="n">
        <v>1</v>
      </c>
      <c r="M263" s="6" t="n">
        <f aca="false">$R$2 + SUMPRODUCT(B263:K263,$S$2:$AB$2)</f>
        <v>0.977444650000001</v>
      </c>
      <c r="N263" s="6" t="n">
        <f aca="false">1/(1+EXP(-M263))</f>
        <v>0.726600884896947</v>
      </c>
      <c r="O263" s="6" t="n">
        <f aca="false">IF(L263=1,N263,1-N263)</f>
        <v>0.726600884896947</v>
      </c>
      <c r="P263" s="6" t="n">
        <f aca="false">LN(O263)</f>
        <v>-0.319377941335955</v>
      </c>
      <c r="AD263" s="8" t="n">
        <f aca="false">B263</f>
        <v>20</v>
      </c>
      <c r="AE263" s="8" t="n">
        <f aca="false">C263</f>
        <v>38700</v>
      </c>
      <c r="AF263" s="8" t="n">
        <f aca="false">D263</f>
        <v>3</v>
      </c>
      <c r="AG263" s="9" t="n">
        <f aca="false">E263*0.85</f>
        <v>51.391</v>
      </c>
      <c r="AH263" s="9" t="n">
        <f aca="false">F263*0.9</f>
        <v>2.7</v>
      </c>
      <c r="AI263" s="9" t="n">
        <f aca="false">G263</f>
        <v>0.75</v>
      </c>
      <c r="AJ263" s="9" t="n">
        <f aca="false">H263*1.2</f>
        <v>52.8</v>
      </c>
      <c r="AK263" s="8" t="n">
        <f aca="false">I263</f>
        <v>1</v>
      </c>
      <c r="AL263" s="8" t="n">
        <f aca="false">J263</f>
        <v>1</v>
      </c>
      <c r="AM263" s="9" t="n">
        <f aca="false">K263</f>
        <v>0.34</v>
      </c>
      <c r="AN263" s="6" t="n">
        <f aca="false">$R$2 + SUMPRODUCT(AD263:AM263,$S$2:$AB$2)</f>
        <v>0.770131473</v>
      </c>
      <c r="AO263" s="6" t="n">
        <f aca="false">1/(1+EXP(-AN263))</f>
        <v>0.683549333300167</v>
      </c>
    </row>
    <row r="264" customFormat="false" ht="15" hidden="false" customHeight="false" outlineLevel="0" collapsed="false">
      <c r="A264" s="3" t="s">
        <v>328</v>
      </c>
      <c r="B264" s="4" t="n">
        <v>37</v>
      </c>
      <c r="C264" s="4" t="n">
        <v>44600</v>
      </c>
      <c r="D264" s="4" t="n">
        <v>7</v>
      </c>
      <c r="E264" s="5" t="n">
        <v>10.57</v>
      </c>
      <c r="F264" s="4" t="n">
        <v>3</v>
      </c>
      <c r="G264" s="5" t="n">
        <v>0.42</v>
      </c>
      <c r="H264" s="4" t="n">
        <v>68</v>
      </c>
      <c r="I264" s="4" t="n">
        <v>0</v>
      </c>
      <c r="J264" s="4" t="n">
        <v>0</v>
      </c>
      <c r="K264" s="5" t="n">
        <v>0.06</v>
      </c>
      <c r="L264" s="4" t="n">
        <v>1</v>
      </c>
      <c r="M264" s="6" t="n">
        <f aca="false">$R$2 + SUMPRODUCT(B264:K264,$S$2:$AB$2)</f>
        <v>-1.35392839</v>
      </c>
      <c r="N264" s="6" t="n">
        <f aca="false">1/(1+EXP(-M264))</f>
        <v>0.205228870164138</v>
      </c>
      <c r="O264" s="6" t="n">
        <f aca="false">IF(L264=1,N264,1-N264)</f>
        <v>0.205228870164138</v>
      </c>
      <c r="P264" s="6" t="n">
        <f aca="false">LN(O264)</f>
        <v>-1.58362948277414</v>
      </c>
      <c r="AD264" s="8" t="n">
        <f aca="false">B264</f>
        <v>37</v>
      </c>
      <c r="AE264" s="8" t="n">
        <f aca="false">C264</f>
        <v>44600</v>
      </c>
      <c r="AF264" s="8" t="n">
        <f aca="false">D264</f>
        <v>7</v>
      </c>
      <c r="AG264" s="9" t="n">
        <f aca="false">E264*0.85</f>
        <v>8.9845</v>
      </c>
      <c r="AH264" s="9" t="n">
        <f aca="false">F264*0.9</f>
        <v>2.7</v>
      </c>
      <c r="AI264" s="9" t="n">
        <f aca="false">G264</f>
        <v>0.42</v>
      </c>
      <c r="AJ264" s="9" t="n">
        <f aca="false">H264*1.2</f>
        <v>81.6</v>
      </c>
      <c r="AK264" s="8" t="n">
        <f aca="false">I264</f>
        <v>0</v>
      </c>
      <c r="AL264" s="8" t="n">
        <f aca="false">J264</f>
        <v>0</v>
      </c>
      <c r="AM264" s="9" t="n">
        <f aca="false">K264</f>
        <v>0.06</v>
      </c>
      <c r="AN264" s="6" t="n">
        <f aca="false">$R$2 + SUMPRODUCT(AD264:AM264,$S$2:$AB$2)</f>
        <v>-1.4883541115</v>
      </c>
      <c r="AO264" s="6" t="n">
        <f aca="false">1/(1+EXP(-AN264))</f>
        <v>0.184168894801096</v>
      </c>
    </row>
    <row r="265" customFormat="false" ht="15" hidden="false" customHeight="false" outlineLevel="0" collapsed="false">
      <c r="A265" s="3" t="s">
        <v>329</v>
      </c>
      <c r="B265" s="4" t="n">
        <v>53</v>
      </c>
      <c r="C265" s="4" t="n">
        <v>68600</v>
      </c>
      <c r="D265" s="4" t="n">
        <v>8</v>
      </c>
      <c r="E265" s="5" t="n">
        <v>69.46</v>
      </c>
      <c r="F265" s="4" t="n">
        <v>4</v>
      </c>
      <c r="G265" s="5" t="n">
        <v>0.45</v>
      </c>
      <c r="H265" s="4" t="n">
        <v>48</v>
      </c>
      <c r="I265" s="4" t="n">
        <v>0</v>
      </c>
      <c r="J265" s="4" t="n">
        <v>0</v>
      </c>
      <c r="K265" s="5" t="n">
        <v>0.03</v>
      </c>
      <c r="L265" s="4" t="n">
        <v>1</v>
      </c>
      <c r="M265" s="6" t="n">
        <f aca="false">$R$2 + SUMPRODUCT(B265:K265,$S$2:$AB$2)</f>
        <v>0.24023212</v>
      </c>
      <c r="N265" s="6" t="n">
        <f aca="false">1/(1+EXP(-M265))</f>
        <v>0.559770850799176</v>
      </c>
      <c r="O265" s="6" t="n">
        <f aca="false">IF(L265=1,N265,1-N265)</f>
        <v>0.559770850799176</v>
      </c>
      <c r="P265" s="6" t="n">
        <f aca="false">LN(O265)</f>
        <v>-0.580227773997534</v>
      </c>
      <c r="AD265" s="8" t="n">
        <f aca="false">B265</f>
        <v>53</v>
      </c>
      <c r="AE265" s="8" t="n">
        <f aca="false">C265</f>
        <v>68600</v>
      </c>
      <c r="AF265" s="8" t="n">
        <f aca="false">D265</f>
        <v>8</v>
      </c>
      <c r="AG265" s="9" t="n">
        <f aca="false">E265*0.85</f>
        <v>59.041</v>
      </c>
      <c r="AH265" s="9" t="n">
        <f aca="false">F265*0.9</f>
        <v>3.6</v>
      </c>
      <c r="AI265" s="9" t="n">
        <f aca="false">G265</f>
        <v>0.45</v>
      </c>
      <c r="AJ265" s="9" t="n">
        <f aca="false">H265*1.2</f>
        <v>57.6</v>
      </c>
      <c r="AK265" s="8" t="n">
        <f aca="false">I265</f>
        <v>0</v>
      </c>
      <c r="AL265" s="8" t="n">
        <f aca="false">J265</f>
        <v>0</v>
      </c>
      <c r="AM265" s="9" t="n">
        <f aca="false">K265</f>
        <v>0.03</v>
      </c>
      <c r="AN265" s="6" t="n">
        <f aca="false">$R$2 + SUMPRODUCT(AD265:AM265,$S$2:$AB$2)</f>
        <v>-0.00142830699999941</v>
      </c>
      <c r="AO265" s="6" t="n">
        <f aca="false">1/(1+EXP(-AN265))</f>
        <v>0.499642923310705</v>
      </c>
    </row>
    <row r="266" customFormat="false" ht="15" hidden="false" customHeight="false" outlineLevel="0" collapsed="false">
      <c r="A266" s="3" t="s">
        <v>330</v>
      </c>
      <c r="B266" s="4" t="n">
        <v>36</v>
      </c>
      <c r="C266" s="4" t="n">
        <v>64000</v>
      </c>
      <c r="D266" s="4" t="n">
        <v>11</v>
      </c>
      <c r="E266" s="5" t="n">
        <v>100.72</v>
      </c>
      <c r="F266" s="4" t="n">
        <v>4</v>
      </c>
      <c r="G266" s="5" t="n">
        <v>0.5</v>
      </c>
      <c r="H266" s="4" t="n">
        <v>57</v>
      </c>
      <c r="I266" s="4" t="n">
        <v>0</v>
      </c>
      <c r="J266" s="4" t="n">
        <v>1</v>
      </c>
      <c r="K266" s="5" t="n">
        <v>0.68</v>
      </c>
      <c r="L266" s="4" t="n">
        <v>1</v>
      </c>
      <c r="M266" s="6" t="n">
        <f aca="false">$R$2 + SUMPRODUCT(B266:K266,$S$2:$AB$2)</f>
        <v>2.7184187</v>
      </c>
      <c r="N266" s="6" t="n">
        <f aca="false">1/(1+EXP(-M266))</f>
        <v>0.938104780398296</v>
      </c>
      <c r="O266" s="6" t="n">
        <f aca="false">IF(L266=1,N266,1-N266)</f>
        <v>0.938104780398296</v>
      </c>
      <c r="P266" s="6" t="n">
        <f aca="false">LN(O266)</f>
        <v>-0.0638936300330308</v>
      </c>
      <c r="AD266" s="8" t="n">
        <f aca="false">B266</f>
        <v>36</v>
      </c>
      <c r="AE266" s="8" t="n">
        <f aca="false">C266</f>
        <v>64000</v>
      </c>
      <c r="AF266" s="8" t="n">
        <f aca="false">D266</f>
        <v>11</v>
      </c>
      <c r="AG266" s="9" t="n">
        <f aca="false">E266*0.85</f>
        <v>85.612</v>
      </c>
      <c r="AH266" s="9" t="n">
        <f aca="false">F266*0.9</f>
        <v>3.6</v>
      </c>
      <c r="AI266" s="9" t="n">
        <f aca="false">G266</f>
        <v>0.5</v>
      </c>
      <c r="AJ266" s="9" t="n">
        <f aca="false">H266*1.2</f>
        <v>68.4</v>
      </c>
      <c r="AK266" s="8" t="n">
        <f aca="false">I266</f>
        <v>0</v>
      </c>
      <c r="AL266" s="8" t="n">
        <f aca="false">J266</f>
        <v>1</v>
      </c>
      <c r="AM266" s="9" t="n">
        <f aca="false">K266</f>
        <v>0.68</v>
      </c>
      <c r="AN266" s="6" t="n">
        <f aca="false">$R$2 + SUMPRODUCT(AD266:AM266,$S$2:$AB$2)</f>
        <v>2.403406536</v>
      </c>
      <c r="AO266" s="6" t="n">
        <f aca="false">1/(1+EXP(-AN266))</f>
        <v>0.91708670032748</v>
      </c>
    </row>
    <row r="267" customFormat="false" ht="15" hidden="false" customHeight="false" outlineLevel="0" collapsed="false">
      <c r="A267" s="3" t="s">
        <v>331</v>
      </c>
      <c r="B267" s="4" t="n">
        <v>43</v>
      </c>
      <c r="C267" s="4" t="n">
        <v>37400</v>
      </c>
      <c r="D267" s="4" t="n">
        <v>8</v>
      </c>
      <c r="E267" s="5" t="n">
        <v>28.15</v>
      </c>
      <c r="F267" s="4" t="n">
        <v>2</v>
      </c>
      <c r="G267" s="5" t="n">
        <v>0.57</v>
      </c>
      <c r="H267" s="4" t="n">
        <v>75</v>
      </c>
      <c r="I267" s="4" t="n">
        <v>1</v>
      </c>
      <c r="J267" s="4" t="n">
        <v>1</v>
      </c>
      <c r="K267" s="5" t="n">
        <v>0.34</v>
      </c>
      <c r="L267" s="4" t="n">
        <v>1</v>
      </c>
      <c r="M267" s="6" t="n">
        <f aca="false">$R$2 + SUMPRODUCT(B267:K267,$S$2:$AB$2)</f>
        <v>0.60153064</v>
      </c>
      <c r="N267" s="6" t="n">
        <f aca="false">1/(1+EXP(-M267))</f>
        <v>0.646006414411555</v>
      </c>
      <c r="O267" s="6" t="n">
        <f aca="false">IF(L267=1,N267,1-N267)</f>
        <v>0.646006414411555</v>
      </c>
      <c r="P267" s="6" t="n">
        <f aca="false">LN(O267)</f>
        <v>-0.43694584581918</v>
      </c>
      <c r="AD267" s="8" t="n">
        <f aca="false">B267</f>
        <v>43</v>
      </c>
      <c r="AE267" s="8" t="n">
        <f aca="false">C267</f>
        <v>37400</v>
      </c>
      <c r="AF267" s="8" t="n">
        <f aca="false">D267</f>
        <v>8</v>
      </c>
      <c r="AG267" s="9" t="n">
        <f aca="false">E267*0.85</f>
        <v>23.9275</v>
      </c>
      <c r="AH267" s="9" t="n">
        <f aca="false">F267*0.9</f>
        <v>1.8</v>
      </c>
      <c r="AI267" s="9" t="n">
        <f aca="false">G267</f>
        <v>0.57</v>
      </c>
      <c r="AJ267" s="9" t="n">
        <f aca="false">H267*1.2</f>
        <v>90</v>
      </c>
      <c r="AK267" s="8" t="n">
        <f aca="false">I267</f>
        <v>1</v>
      </c>
      <c r="AL267" s="8" t="n">
        <f aca="false">J267</f>
        <v>1</v>
      </c>
      <c r="AM267" s="9" t="n">
        <f aca="false">K267</f>
        <v>0.34</v>
      </c>
      <c r="AN267" s="6" t="n">
        <f aca="false">$R$2 + SUMPRODUCT(AD267:AM267,$S$2:$AB$2)</f>
        <v>0.4352271975</v>
      </c>
      <c r="AO267" s="6" t="n">
        <f aca="false">1/(1+EXP(-AN267))</f>
        <v>0.607121181686017</v>
      </c>
    </row>
    <row r="268" customFormat="false" ht="15" hidden="false" customHeight="false" outlineLevel="0" collapsed="false">
      <c r="A268" s="3" t="s">
        <v>332</v>
      </c>
      <c r="B268" s="4" t="n">
        <v>20</v>
      </c>
      <c r="C268" s="4" t="n">
        <v>56800</v>
      </c>
      <c r="D268" s="4" t="n">
        <v>3</v>
      </c>
      <c r="E268" s="5" t="n">
        <v>50.35</v>
      </c>
      <c r="F268" s="4" t="n">
        <v>6</v>
      </c>
      <c r="G268" s="5" t="n">
        <v>0.25</v>
      </c>
      <c r="H268" s="4" t="n">
        <v>22</v>
      </c>
      <c r="I268" s="4" t="n">
        <v>1</v>
      </c>
      <c r="J268" s="4" t="n">
        <v>1</v>
      </c>
      <c r="K268" s="5" t="n">
        <v>0.39</v>
      </c>
      <c r="L268" s="4" t="n">
        <v>1</v>
      </c>
      <c r="M268" s="6" t="n">
        <f aca="false">$R$2 + SUMPRODUCT(B268:K268,$S$2:$AB$2)</f>
        <v>0.96404817</v>
      </c>
      <c r="N268" s="6" t="n">
        <f aca="false">1/(1+EXP(-M268))</f>
        <v>0.723931583675025</v>
      </c>
      <c r="O268" s="6" t="n">
        <f aca="false">IF(L268=1,N268,1-N268)</f>
        <v>0.723931583675025</v>
      </c>
      <c r="P268" s="6" t="n">
        <f aca="false">LN(O268)</f>
        <v>-0.323058388748038</v>
      </c>
      <c r="AD268" s="8" t="n">
        <f aca="false">B268</f>
        <v>20</v>
      </c>
      <c r="AE268" s="8" t="n">
        <f aca="false">C268</f>
        <v>56800</v>
      </c>
      <c r="AF268" s="8" t="n">
        <f aca="false">D268</f>
        <v>3</v>
      </c>
      <c r="AG268" s="9" t="n">
        <f aca="false">E268*0.85</f>
        <v>42.7975</v>
      </c>
      <c r="AH268" s="9" t="n">
        <f aca="false">F268*0.9</f>
        <v>5.4</v>
      </c>
      <c r="AI268" s="9" t="n">
        <f aca="false">G268</f>
        <v>0.25</v>
      </c>
      <c r="AJ268" s="9" t="n">
        <f aca="false">H268*1.2</f>
        <v>26.4</v>
      </c>
      <c r="AK268" s="8" t="n">
        <f aca="false">I268</f>
        <v>1</v>
      </c>
      <c r="AL268" s="8" t="n">
        <f aca="false">J268</f>
        <v>1</v>
      </c>
      <c r="AM268" s="9" t="n">
        <f aca="false">K268</f>
        <v>0.39</v>
      </c>
      <c r="AN268" s="6" t="n">
        <f aca="false">$R$2 + SUMPRODUCT(AD268:AM268,$S$2:$AB$2)</f>
        <v>0.7676224375</v>
      </c>
      <c r="AO268" s="6" t="n">
        <f aca="false">1/(1+EXP(-AN268))</f>
        <v>0.68300635495484</v>
      </c>
    </row>
    <row r="269" customFormat="false" ht="15" hidden="false" customHeight="false" outlineLevel="0" collapsed="false">
      <c r="A269" s="3" t="s">
        <v>333</v>
      </c>
      <c r="B269" s="4" t="n">
        <v>36</v>
      </c>
      <c r="C269" s="4" t="n">
        <v>68500</v>
      </c>
      <c r="D269" s="4" t="n">
        <v>6</v>
      </c>
      <c r="E269" s="5" t="n">
        <v>73.23</v>
      </c>
      <c r="F269" s="4" t="n">
        <v>4</v>
      </c>
      <c r="G269" s="5" t="n">
        <v>0.31</v>
      </c>
      <c r="H269" s="4" t="n">
        <v>132</v>
      </c>
      <c r="I269" s="4" t="n">
        <v>1</v>
      </c>
      <c r="J269" s="4" t="n">
        <v>1</v>
      </c>
      <c r="K269" s="5" t="n">
        <v>0.59</v>
      </c>
      <c r="L269" s="4" t="n">
        <v>1</v>
      </c>
      <c r="M269" s="6" t="n">
        <f aca="false">$R$2 + SUMPRODUCT(B269:K269,$S$2:$AB$2)</f>
        <v>1.38453507</v>
      </c>
      <c r="N269" s="6" t="n">
        <f aca="false">1/(1+EXP(-M269))</f>
        <v>0.799718364849993</v>
      </c>
      <c r="O269" s="6" t="n">
        <f aca="false">IF(L269=1,N269,1-N269)</f>
        <v>0.799718364849993</v>
      </c>
      <c r="P269" s="6" t="n">
        <f aca="false">LN(O269)</f>
        <v>-0.223495657233733</v>
      </c>
      <c r="AD269" s="8" t="n">
        <f aca="false">B269</f>
        <v>36</v>
      </c>
      <c r="AE269" s="8" t="n">
        <f aca="false">C269</f>
        <v>68500</v>
      </c>
      <c r="AF269" s="8" t="n">
        <f aca="false">D269</f>
        <v>6</v>
      </c>
      <c r="AG269" s="9" t="n">
        <f aca="false">E269*0.85</f>
        <v>62.2455</v>
      </c>
      <c r="AH269" s="9" t="n">
        <f aca="false">F269*0.9</f>
        <v>3.6</v>
      </c>
      <c r="AI269" s="9" t="n">
        <f aca="false">G269</f>
        <v>0.31</v>
      </c>
      <c r="AJ269" s="9" t="n">
        <f aca="false">H269*1.2</f>
        <v>158.4</v>
      </c>
      <c r="AK269" s="8" t="n">
        <f aca="false">I269</f>
        <v>1</v>
      </c>
      <c r="AL269" s="8" t="n">
        <f aca="false">J269</f>
        <v>1</v>
      </c>
      <c r="AM269" s="9" t="n">
        <f aca="false">K269</f>
        <v>0.59</v>
      </c>
      <c r="AN269" s="6" t="n">
        <f aca="false">$R$2 + SUMPRODUCT(AD269:AM269,$S$2:$AB$2)</f>
        <v>1.0385438815</v>
      </c>
      <c r="AO269" s="6" t="n">
        <f aca="false">1/(1+EXP(-AN269))</f>
        <v>0.73856894933722</v>
      </c>
    </row>
    <row r="270" customFormat="false" ht="15" hidden="false" customHeight="false" outlineLevel="0" collapsed="false">
      <c r="A270" s="3" t="s">
        <v>334</v>
      </c>
      <c r="B270" s="4" t="n">
        <v>37</v>
      </c>
      <c r="C270" s="4" t="n">
        <v>25000</v>
      </c>
      <c r="D270" s="4" t="n">
        <v>3</v>
      </c>
      <c r="E270" s="5" t="n">
        <v>96.32</v>
      </c>
      <c r="F270" s="4" t="n">
        <v>4</v>
      </c>
      <c r="G270" s="5" t="n">
        <v>0.4</v>
      </c>
      <c r="H270" s="4" t="n">
        <v>302</v>
      </c>
      <c r="I270" s="4" t="n">
        <v>0</v>
      </c>
      <c r="J270" s="4" t="n">
        <v>0</v>
      </c>
      <c r="K270" s="5" t="n">
        <v>0.57</v>
      </c>
      <c r="L270" s="4" t="n">
        <v>0</v>
      </c>
      <c r="M270" s="6" t="n">
        <f aca="false">$R$2 + SUMPRODUCT(B270:K270,$S$2:$AB$2)</f>
        <v>-2.09201023</v>
      </c>
      <c r="N270" s="6" t="n">
        <f aca="false">1/(1+EXP(-M270))</f>
        <v>0.109875813357141</v>
      </c>
      <c r="O270" s="6" t="n">
        <f aca="false">IF(L270=1,N270,1-N270)</f>
        <v>0.890124186642859</v>
      </c>
      <c r="P270" s="6" t="n">
        <f aca="false">LN(O270)</f>
        <v>-0.116394290436357</v>
      </c>
      <c r="AD270" s="8" t="n">
        <f aca="false">B270</f>
        <v>37</v>
      </c>
      <c r="AE270" s="8" t="n">
        <f aca="false">C270</f>
        <v>25000</v>
      </c>
      <c r="AF270" s="8" t="n">
        <f aca="false">D270</f>
        <v>3</v>
      </c>
      <c r="AG270" s="9" t="n">
        <f aca="false">E270*0.85</f>
        <v>81.872</v>
      </c>
      <c r="AH270" s="9" t="n">
        <f aca="false">F270*0.9</f>
        <v>3.6</v>
      </c>
      <c r="AI270" s="9" t="n">
        <f aca="false">G270</f>
        <v>0.4</v>
      </c>
      <c r="AJ270" s="9" t="n">
        <f aca="false">H270*1.2</f>
        <v>362.4</v>
      </c>
      <c r="AK270" s="8" t="n">
        <f aca="false">I270</f>
        <v>0</v>
      </c>
      <c r="AL270" s="8" t="n">
        <f aca="false">J270</f>
        <v>0</v>
      </c>
      <c r="AM270" s="9" t="n">
        <f aca="false">K270</f>
        <v>0.57</v>
      </c>
      <c r="AN270" s="6" t="n">
        <f aca="false">$R$2 + SUMPRODUCT(AD270:AM270,$S$2:$AB$2)</f>
        <v>-2.680298614</v>
      </c>
      <c r="AO270" s="6" t="n">
        <f aca="false">1/(1+EXP(-AN270))</f>
        <v>0.0641459479015995</v>
      </c>
    </row>
    <row r="271" customFormat="false" ht="15" hidden="false" customHeight="false" outlineLevel="0" collapsed="false">
      <c r="A271" s="3" t="s">
        <v>335</v>
      </c>
      <c r="B271" s="4" t="n">
        <v>49</v>
      </c>
      <c r="C271" s="4" t="n">
        <v>64800</v>
      </c>
      <c r="D271" s="4" t="n">
        <v>6</v>
      </c>
      <c r="E271" s="5" t="n">
        <v>53.79</v>
      </c>
      <c r="F271" s="4" t="n">
        <v>4</v>
      </c>
      <c r="G271" s="5" t="n">
        <v>0.39</v>
      </c>
      <c r="H271" s="4" t="n">
        <v>267</v>
      </c>
      <c r="I271" s="4" t="n">
        <v>0</v>
      </c>
      <c r="J271" s="4" t="n">
        <v>0</v>
      </c>
      <c r="K271" s="5" t="n">
        <v>0.5</v>
      </c>
      <c r="L271" s="4" t="n">
        <v>0</v>
      </c>
      <c r="M271" s="6" t="n">
        <f aca="false">$R$2 + SUMPRODUCT(B271:K271,$S$2:$AB$2)</f>
        <v>-1.21401974</v>
      </c>
      <c r="N271" s="6" t="n">
        <f aca="false">1/(1+EXP(-M271))</f>
        <v>0.228990577184062</v>
      </c>
      <c r="O271" s="6" t="n">
        <f aca="false">IF(L271=1,N271,1-N271)</f>
        <v>0.771009422815938</v>
      </c>
      <c r="P271" s="6" t="n">
        <f aca="false">LN(O271)</f>
        <v>-0.260054683942338</v>
      </c>
      <c r="AD271" s="8" t="n">
        <f aca="false">B271</f>
        <v>49</v>
      </c>
      <c r="AE271" s="8" t="n">
        <f aca="false">C271</f>
        <v>64800</v>
      </c>
      <c r="AF271" s="8" t="n">
        <f aca="false">D271</f>
        <v>6</v>
      </c>
      <c r="AG271" s="9" t="n">
        <f aca="false">E271*0.85</f>
        <v>45.7215</v>
      </c>
      <c r="AH271" s="9" t="n">
        <f aca="false">F271*0.9</f>
        <v>3.6</v>
      </c>
      <c r="AI271" s="9" t="n">
        <f aca="false">G271</f>
        <v>0.39</v>
      </c>
      <c r="AJ271" s="9" t="n">
        <f aca="false">H271*1.2</f>
        <v>320.4</v>
      </c>
      <c r="AK271" s="8" t="n">
        <f aca="false">I271</f>
        <v>0</v>
      </c>
      <c r="AL271" s="8" t="n">
        <f aca="false">J271</f>
        <v>0</v>
      </c>
      <c r="AM271" s="9" t="n">
        <f aca="false">K271</f>
        <v>0.5</v>
      </c>
      <c r="AN271" s="6" t="n">
        <f aca="false">$R$2 + SUMPRODUCT(AD271:AM271,$S$2:$AB$2)</f>
        <v>-1.6763063005</v>
      </c>
      <c r="AO271" s="6" t="n">
        <f aca="false">1/(1+EXP(-AN271))</f>
        <v>0.157585195304783</v>
      </c>
    </row>
    <row r="272" customFormat="false" ht="15" hidden="false" customHeight="false" outlineLevel="0" collapsed="false">
      <c r="A272" s="3" t="s">
        <v>336</v>
      </c>
      <c r="B272" s="4" t="n">
        <v>24</v>
      </c>
      <c r="C272" s="4" t="n">
        <v>43100</v>
      </c>
      <c r="D272" s="4" t="n">
        <v>9</v>
      </c>
      <c r="E272" s="5" t="n">
        <v>47.69</v>
      </c>
      <c r="F272" s="4" t="n">
        <v>6</v>
      </c>
      <c r="G272" s="5" t="n">
        <v>0.51</v>
      </c>
      <c r="H272" s="4" t="n">
        <v>287</v>
      </c>
      <c r="I272" s="4" t="n">
        <v>0</v>
      </c>
      <c r="J272" s="4" t="n">
        <v>0</v>
      </c>
      <c r="K272" s="5" t="n">
        <v>0.29</v>
      </c>
      <c r="L272" s="4" t="n">
        <v>0</v>
      </c>
      <c r="M272" s="6" t="n">
        <f aca="false">$R$2 + SUMPRODUCT(B272:K272,$S$2:$AB$2)</f>
        <v>-0.86393945</v>
      </c>
      <c r="N272" s="6" t="n">
        <f aca="false">1/(1+EXP(-M272))</f>
        <v>0.296516939298264</v>
      </c>
      <c r="O272" s="6" t="n">
        <f aca="false">IF(L272=1,N272,1-N272)</f>
        <v>0.703483060701736</v>
      </c>
      <c r="P272" s="6" t="n">
        <f aca="false">LN(O272)</f>
        <v>-0.351711481322085</v>
      </c>
      <c r="AD272" s="8" t="n">
        <f aca="false">B272</f>
        <v>24</v>
      </c>
      <c r="AE272" s="8" t="n">
        <f aca="false">C272</f>
        <v>43100</v>
      </c>
      <c r="AF272" s="8" t="n">
        <f aca="false">D272</f>
        <v>9</v>
      </c>
      <c r="AG272" s="9" t="n">
        <f aca="false">E272*0.85</f>
        <v>40.5365</v>
      </c>
      <c r="AH272" s="9" t="n">
        <f aca="false">F272*0.9</f>
        <v>5.4</v>
      </c>
      <c r="AI272" s="9" t="n">
        <f aca="false">G272</f>
        <v>0.51</v>
      </c>
      <c r="AJ272" s="9" t="n">
        <f aca="false">H272*1.2</f>
        <v>344.4</v>
      </c>
      <c r="AK272" s="8" t="n">
        <f aca="false">I272</f>
        <v>0</v>
      </c>
      <c r="AL272" s="8" t="n">
        <f aca="false">J272</f>
        <v>0</v>
      </c>
      <c r="AM272" s="9" t="n">
        <f aca="false">K272</f>
        <v>0.29</v>
      </c>
      <c r="AN272" s="6" t="n">
        <f aca="false">$R$2 + SUMPRODUCT(AD272:AM272,$S$2:$AB$2)</f>
        <v>-1.3601794155</v>
      </c>
      <c r="AO272" s="6" t="n">
        <f aca="false">1/(1+EXP(-AN272))</f>
        <v>0.204211144111763</v>
      </c>
    </row>
    <row r="273" customFormat="false" ht="15" hidden="false" customHeight="false" outlineLevel="0" collapsed="false">
      <c r="A273" s="3" t="s">
        <v>337</v>
      </c>
      <c r="B273" s="4" t="n">
        <v>69</v>
      </c>
      <c r="C273" s="4" t="n">
        <v>65300</v>
      </c>
      <c r="D273" s="4" t="n">
        <v>5</v>
      </c>
      <c r="E273" s="5" t="n">
        <v>15.78</v>
      </c>
      <c r="F273" s="4" t="n">
        <v>5</v>
      </c>
      <c r="G273" s="5" t="n">
        <v>0.63</v>
      </c>
      <c r="H273" s="4" t="n">
        <v>120</v>
      </c>
      <c r="I273" s="4" t="n">
        <v>0</v>
      </c>
      <c r="J273" s="4" t="n">
        <v>0</v>
      </c>
      <c r="K273" s="5" t="n">
        <v>0.3</v>
      </c>
      <c r="L273" s="4" t="n">
        <v>1</v>
      </c>
      <c r="M273" s="6" t="n">
        <f aca="false">$R$2 + SUMPRODUCT(B273:K273,$S$2:$AB$2)</f>
        <v>-1.00182163</v>
      </c>
      <c r="N273" s="6" t="n">
        <f aca="false">1/(1+EXP(-M273))</f>
        <v>0.268583417957838</v>
      </c>
      <c r="O273" s="6" t="n">
        <f aca="false">IF(L273=1,N273,1-N273)</f>
        <v>0.268583417957838</v>
      </c>
      <c r="P273" s="6" t="n">
        <f aca="false">LN(O273)</f>
        <v>-1.31459373187747</v>
      </c>
      <c r="AD273" s="8" t="n">
        <f aca="false">B273</f>
        <v>69</v>
      </c>
      <c r="AE273" s="8" t="n">
        <f aca="false">C273</f>
        <v>65300</v>
      </c>
      <c r="AF273" s="8" t="n">
        <f aca="false">D273</f>
        <v>5</v>
      </c>
      <c r="AG273" s="9" t="n">
        <f aca="false">E273*0.85</f>
        <v>13.413</v>
      </c>
      <c r="AH273" s="9" t="n">
        <f aca="false">F273*0.9</f>
        <v>4.5</v>
      </c>
      <c r="AI273" s="9" t="n">
        <f aca="false">G273</f>
        <v>0.63</v>
      </c>
      <c r="AJ273" s="9" t="n">
        <f aca="false">H273*1.2</f>
        <v>144</v>
      </c>
      <c r="AK273" s="8" t="n">
        <f aca="false">I273</f>
        <v>0</v>
      </c>
      <c r="AL273" s="8" t="n">
        <f aca="false">J273</f>
        <v>0</v>
      </c>
      <c r="AM273" s="9" t="n">
        <f aca="false">K273</f>
        <v>0.3</v>
      </c>
      <c r="AN273" s="6" t="n">
        <f aca="false">$R$2 + SUMPRODUCT(AD273:AM273,$S$2:$AB$2)</f>
        <v>-1.229841041</v>
      </c>
      <c r="AO273" s="6" t="n">
        <f aca="false">1/(1+EXP(-AN273))</f>
        <v>0.226209248484293</v>
      </c>
    </row>
    <row r="274" customFormat="false" ht="15" hidden="false" customHeight="false" outlineLevel="0" collapsed="false">
      <c r="A274" s="3" t="s">
        <v>338</v>
      </c>
      <c r="B274" s="4" t="n">
        <v>58</v>
      </c>
      <c r="C274" s="4" t="n">
        <v>41300</v>
      </c>
      <c r="D274" s="4" t="n">
        <v>2</v>
      </c>
      <c r="E274" s="5" t="n">
        <v>67.59</v>
      </c>
      <c r="F274" s="4" t="n">
        <v>3</v>
      </c>
      <c r="G274" s="5" t="n">
        <v>0.22</v>
      </c>
      <c r="H274" s="4" t="n">
        <v>246</v>
      </c>
      <c r="I274" s="4" t="n">
        <v>1</v>
      </c>
      <c r="J274" s="4" t="n">
        <v>1</v>
      </c>
      <c r="K274" s="5" t="n">
        <v>0.13</v>
      </c>
      <c r="L274" s="4" t="n">
        <v>0</v>
      </c>
      <c r="M274" s="6" t="n">
        <f aca="false">$R$2 + SUMPRODUCT(B274:K274,$S$2:$AB$2)</f>
        <v>-1.77188362</v>
      </c>
      <c r="N274" s="6" t="n">
        <f aca="false">1/(1+EXP(-M274))</f>
        <v>0.145308238769605</v>
      </c>
      <c r="O274" s="6" t="n">
        <f aca="false">IF(L274=1,N274,1-N274)</f>
        <v>0.854691761230395</v>
      </c>
      <c r="P274" s="6" t="n">
        <f aca="false">LN(O274)</f>
        <v>-0.157014388226701</v>
      </c>
      <c r="AD274" s="8" t="n">
        <f aca="false">B274</f>
        <v>58</v>
      </c>
      <c r="AE274" s="8" t="n">
        <f aca="false">C274</f>
        <v>41300</v>
      </c>
      <c r="AF274" s="8" t="n">
        <f aca="false">D274</f>
        <v>2</v>
      </c>
      <c r="AG274" s="9" t="n">
        <f aca="false">E274*0.85</f>
        <v>57.4515</v>
      </c>
      <c r="AH274" s="9" t="n">
        <f aca="false">F274*0.9</f>
        <v>2.7</v>
      </c>
      <c r="AI274" s="9" t="n">
        <f aca="false">G274</f>
        <v>0.22</v>
      </c>
      <c r="AJ274" s="9" t="n">
        <f aca="false">H274*1.2</f>
        <v>295.2</v>
      </c>
      <c r="AK274" s="8" t="n">
        <f aca="false">I274</f>
        <v>1</v>
      </c>
      <c r="AL274" s="8" t="n">
        <f aca="false">J274</f>
        <v>1</v>
      </c>
      <c r="AM274" s="9" t="n">
        <f aca="false">K274</f>
        <v>0.13</v>
      </c>
      <c r="AN274" s="6" t="n">
        <f aca="false">$R$2 + SUMPRODUCT(AD274:AM274,$S$2:$AB$2)</f>
        <v>-2.2261865905</v>
      </c>
      <c r="AO274" s="6" t="n">
        <f aca="false">1/(1+EXP(-AN274))</f>
        <v>0.097423447769208</v>
      </c>
    </row>
    <row r="275" customFormat="false" ht="15" hidden="false" customHeight="false" outlineLevel="0" collapsed="false">
      <c r="A275" s="3" t="s">
        <v>339</v>
      </c>
      <c r="B275" s="4" t="n">
        <v>50</v>
      </c>
      <c r="C275" s="4" t="n">
        <v>22500</v>
      </c>
      <c r="D275" s="4" t="n">
        <v>8</v>
      </c>
      <c r="E275" s="5" t="n">
        <v>116.05</v>
      </c>
      <c r="F275" s="4" t="n">
        <v>5</v>
      </c>
      <c r="G275" s="5" t="n">
        <v>0.93</v>
      </c>
      <c r="H275" s="4" t="n">
        <v>56</v>
      </c>
      <c r="I275" s="4" t="n">
        <v>1</v>
      </c>
      <c r="J275" s="4" t="n">
        <v>0</v>
      </c>
      <c r="K275" s="5" t="n">
        <v>0.24</v>
      </c>
      <c r="L275" s="4" t="n">
        <v>1</v>
      </c>
      <c r="M275" s="6" t="n">
        <f aca="false">$R$2 + SUMPRODUCT(B275:K275,$S$2:$AB$2)</f>
        <v>1.6675276</v>
      </c>
      <c r="N275" s="6" t="n">
        <f aca="false">1/(1+EXP(-M275))</f>
        <v>0.841245907607578</v>
      </c>
      <c r="O275" s="6" t="n">
        <f aca="false">IF(L275=1,N275,1-N275)</f>
        <v>0.841245907607578</v>
      </c>
      <c r="P275" s="6" t="n">
        <f aca="false">LN(O275)</f>
        <v>-0.1728712626917</v>
      </c>
      <c r="AD275" s="8" t="n">
        <f aca="false">B275</f>
        <v>50</v>
      </c>
      <c r="AE275" s="8" t="n">
        <f aca="false">C275</f>
        <v>22500</v>
      </c>
      <c r="AF275" s="8" t="n">
        <f aca="false">D275</f>
        <v>8</v>
      </c>
      <c r="AG275" s="9" t="n">
        <f aca="false">E275*0.85</f>
        <v>98.6425</v>
      </c>
      <c r="AH275" s="9" t="n">
        <f aca="false">F275*0.9</f>
        <v>4.5</v>
      </c>
      <c r="AI275" s="9" t="n">
        <f aca="false">G275</f>
        <v>0.93</v>
      </c>
      <c r="AJ275" s="9" t="n">
        <f aca="false">H275*1.2</f>
        <v>67.2</v>
      </c>
      <c r="AK275" s="8" t="n">
        <f aca="false">I275</f>
        <v>1</v>
      </c>
      <c r="AL275" s="8" t="n">
        <f aca="false">J275</f>
        <v>0</v>
      </c>
      <c r="AM275" s="9" t="n">
        <f aca="false">K275</f>
        <v>0.24</v>
      </c>
      <c r="AN275" s="6" t="n">
        <f aca="false">$R$2 + SUMPRODUCT(AD275:AM275,$S$2:$AB$2)</f>
        <v>1.3111715525</v>
      </c>
      <c r="AO275" s="6" t="n">
        <f aca="false">1/(1+EXP(-AN275))</f>
        <v>0.787709132968866</v>
      </c>
    </row>
    <row r="276" customFormat="false" ht="15" hidden="false" customHeight="false" outlineLevel="0" collapsed="false">
      <c r="A276" s="3" t="s">
        <v>340</v>
      </c>
      <c r="B276" s="4" t="n">
        <v>57</v>
      </c>
      <c r="C276" s="4" t="n">
        <v>25700</v>
      </c>
      <c r="D276" s="4" t="n">
        <v>9</v>
      </c>
      <c r="E276" s="5" t="n">
        <v>71.93</v>
      </c>
      <c r="F276" s="4" t="n">
        <v>5</v>
      </c>
      <c r="G276" s="5" t="n">
        <v>0.46</v>
      </c>
      <c r="H276" s="4" t="n">
        <v>38</v>
      </c>
      <c r="I276" s="4" t="n">
        <v>0</v>
      </c>
      <c r="J276" s="4" t="n">
        <v>0</v>
      </c>
      <c r="K276" s="5" t="n">
        <v>0.01</v>
      </c>
      <c r="L276" s="4" t="n">
        <v>0</v>
      </c>
      <c r="M276" s="6" t="n">
        <f aca="false">$R$2 + SUMPRODUCT(B276:K276,$S$2:$AB$2)</f>
        <v>-0.403038319999999</v>
      </c>
      <c r="N276" s="6" t="n">
        <f aca="false">1/(1+EXP(-M276))</f>
        <v>0.400582570237501</v>
      </c>
      <c r="O276" s="6" t="n">
        <f aca="false">IF(L276=1,N276,1-N276)</f>
        <v>0.599417429762499</v>
      </c>
      <c r="P276" s="6" t="n">
        <f aca="false">LN(O276)</f>
        <v>-0.511797045839504</v>
      </c>
      <c r="AD276" s="8" t="n">
        <f aca="false">B276</f>
        <v>57</v>
      </c>
      <c r="AE276" s="8" t="n">
        <f aca="false">C276</f>
        <v>25700</v>
      </c>
      <c r="AF276" s="8" t="n">
        <f aca="false">D276</f>
        <v>9</v>
      </c>
      <c r="AG276" s="9" t="n">
        <f aca="false">E276*0.85</f>
        <v>61.1405</v>
      </c>
      <c r="AH276" s="9" t="n">
        <f aca="false">F276*0.9</f>
        <v>4.5</v>
      </c>
      <c r="AI276" s="9" t="n">
        <f aca="false">G276</f>
        <v>0.46</v>
      </c>
      <c r="AJ276" s="9" t="n">
        <f aca="false">H276*1.2</f>
        <v>45.6</v>
      </c>
      <c r="AK276" s="8" t="n">
        <f aca="false">I276</f>
        <v>0</v>
      </c>
      <c r="AL276" s="8" t="n">
        <f aca="false">J276</f>
        <v>0</v>
      </c>
      <c r="AM276" s="9" t="n">
        <f aca="false">K276</f>
        <v>0.01</v>
      </c>
      <c r="AN276" s="6" t="n">
        <f aca="false">$R$2 + SUMPRODUCT(AD276:AM276,$S$2:$AB$2)</f>
        <v>-0.6497659735</v>
      </c>
      <c r="AO276" s="6" t="n">
        <f aca="false">1/(1+EXP(-AN276))</f>
        <v>0.343042276601078</v>
      </c>
    </row>
    <row r="277" customFormat="false" ht="15" hidden="false" customHeight="false" outlineLevel="0" collapsed="false">
      <c r="A277" s="3" t="s">
        <v>341</v>
      </c>
      <c r="B277" s="4" t="n">
        <v>56</v>
      </c>
      <c r="C277" s="4" t="n">
        <v>55900</v>
      </c>
      <c r="D277" s="4" t="n">
        <v>5</v>
      </c>
      <c r="E277" s="5" t="n">
        <v>64.44</v>
      </c>
      <c r="F277" s="4" t="n">
        <v>5</v>
      </c>
      <c r="G277" s="5" t="n">
        <v>0.14</v>
      </c>
      <c r="H277" s="4" t="n">
        <v>245</v>
      </c>
      <c r="I277" s="4" t="n">
        <v>0</v>
      </c>
      <c r="J277" s="4" t="n">
        <v>1</v>
      </c>
      <c r="K277" s="5" t="n">
        <v>0.34</v>
      </c>
      <c r="L277" s="4" t="n">
        <v>0</v>
      </c>
      <c r="M277" s="6" t="n">
        <f aca="false">$R$2 + SUMPRODUCT(B277:K277,$S$2:$AB$2)</f>
        <v>-1.26835032</v>
      </c>
      <c r="N277" s="6" t="n">
        <f aca="false">1/(1+EXP(-M277))</f>
        <v>0.219539780884912</v>
      </c>
      <c r="O277" s="6" t="n">
        <f aca="false">IF(L277=1,N277,1-N277)</f>
        <v>0.780460219115088</v>
      </c>
      <c r="P277" s="6" t="n">
        <f aca="false">LN(O277)</f>
        <v>-0.247871508787998</v>
      </c>
      <c r="AD277" s="8" t="n">
        <f aca="false">B277</f>
        <v>56</v>
      </c>
      <c r="AE277" s="8" t="n">
        <f aca="false">C277</f>
        <v>55900</v>
      </c>
      <c r="AF277" s="8" t="n">
        <f aca="false">D277</f>
        <v>5</v>
      </c>
      <c r="AG277" s="9" t="n">
        <f aca="false">E277*0.85</f>
        <v>54.774</v>
      </c>
      <c r="AH277" s="9" t="n">
        <f aca="false">F277*0.9</f>
        <v>4.5</v>
      </c>
      <c r="AI277" s="9" t="n">
        <f aca="false">G277</f>
        <v>0.14</v>
      </c>
      <c r="AJ277" s="9" t="n">
        <f aca="false">H277*1.2</f>
        <v>294</v>
      </c>
      <c r="AK277" s="8" t="n">
        <f aca="false">I277</f>
        <v>0</v>
      </c>
      <c r="AL277" s="8" t="n">
        <f aca="false">J277</f>
        <v>1</v>
      </c>
      <c r="AM277" s="9" t="n">
        <f aca="false">K277</f>
        <v>0.34</v>
      </c>
      <c r="AN277" s="6" t="n">
        <f aca="false">$R$2 + SUMPRODUCT(AD277:AM277,$S$2:$AB$2)</f>
        <v>-1.738367198</v>
      </c>
      <c r="AO277" s="6" t="n">
        <f aca="false">1/(1+EXP(-AN277))</f>
        <v>0.149520449503252</v>
      </c>
    </row>
    <row r="278" customFormat="false" ht="15" hidden="false" customHeight="false" outlineLevel="0" collapsed="false">
      <c r="A278" s="3" t="s">
        <v>342</v>
      </c>
      <c r="B278" s="4" t="n">
        <v>35</v>
      </c>
      <c r="C278" s="4" t="n">
        <v>59700</v>
      </c>
      <c r="D278" s="4" t="n">
        <v>7</v>
      </c>
      <c r="E278" s="5" t="n">
        <v>73.05</v>
      </c>
      <c r="F278" s="4" t="n">
        <v>4</v>
      </c>
      <c r="G278" s="5" t="n">
        <v>0.19</v>
      </c>
      <c r="H278" s="4" t="n">
        <v>21</v>
      </c>
      <c r="I278" s="4" t="n">
        <v>1</v>
      </c>
      <c r="J278" s="4" t="n">
        <v>1</v>
      </c>
      <c r="K278" s="5" t="n">
        <v>0.16</v>
      </c>
      <c r="L278" s="4" t="n">
        <v>1</v>
      </c>
      <c r="M278" s="6" t="n">
        <f aca="false">$R$2 + SUMPRODUCT(B278:K278,$S$2:$AB$2)</f>
        <v>1.33117642</v>
      </c>
      <c r="N278" s="6" t="n">
        <f aca="false">1/(1+EXP(-M278))</f>
        <v>0.791035161868626</v>
      </c>
      <c r="O278" s="6" t="n">
        <f aca="false">IF(L278=1,N278,1-N278)</f>
        <v>0.791035161868626</v>
      </c>
      <c r="P278" s="6" t="n">
        <f aca="false">LN(O278)</f>
        <v>-0.234412859776893</v>
      </c>
      <c r="AD278" s="8" t="n">
        <f aca="false">B278</f>
        <v>35</v>
      </c>
      <c r="AE278" s="8" t="n">
        <f aca="false">C278</f>
        <v>59700</v>
      </c>
      <c r="AF278" s="8" t="n">
        <f aca="false">D278</f>
        <v>7</v>
      </c>
      <c r="AG278" s="9" t="n">
        <f aca="false">E278*0.85</f>
        <v>62.0925</v>
      </c>
      <c r="AH278" s="9" t="n">
        <f aca="false">F278*0.9</f>
        <v>3.6</v>
      </c>
      <c r="AI278" s="9" t="n">
        <f aca="false">G278</f>
        <v>0.19</v>
      </c>
      <c r="AJ278" s="9" t="n">
        <f aca="false">H278*1.2</f>
        <v>25.2</v>
      </c>
      <c r="AK278" s="8" t="n">
        <f aca="false">I278</f>
        <v>1</v>
      </c>
      <c r="AL278" s="8" t="n">
        <f aca="false">J278</f>
        <v>1</v>
      </c>
      <c r="AM278" s="9" t="n">
        <f aca="false">K278</f>
        <v>0.16</v>
      </c>
      <c r="AN278" s="6" t="n">
        <f aca="false">$R$2 + SUMPRODUCT(AD278:AM278,$S$2:$AB$2)</f>
        <v>1.1133755225</v>
      </c>
      <c r="AO278" s="6" t="n">
        <f aca="false">1/(1+EXP(-AN278))</f>
        <v>0.752757877455567</v>
      </c>
    </row>
    <row r="279" customFormat="false" ht="15" hidden="false" customHeight="false" outlineLevel="0" collapsed="false">
      <c r="A279" s="3" t="s">
        <v>343</v>
      </c>
      <c r="B279" s="4" t="n">
        <v>57</v>
      </c>
      <c r="C279" s="4" t="n">
        <v>38700</v>
      </c>
      <c r="D279" s="4" t="n">
        <v>7</v>
      </c>
      <c r="E279" s="5" t="n">
        <v>64.72</v>
      </c>
      <c r="F279" s="4" t="n">
        <v>6</v>
      </c>
      <c r="G279" s="5" t="n">
        <v>0.67</v>
      </c>
      <c r="H279" s="4" t="n">
        <v>110</v>
      </c>
      <c r="I279" s="4" t="n">
        <v>0</v>
      </c>
      <c r="J279" s="4" t="n">
        <v>1</v>
      </c>
      <c r="K279" s="5" t="n">
        <v>0.61</v>
      </c>
      <c r="L279" s="4" t="n">
        <v>1</v>
      </c>
      <c r="M279" s="6" t="n">
        <f aca="false">$R$2 + SUMPRODUCT(B279:K279,$S$2:$AB$2)</f>
        <v>0.78267146</v>
      </c>
      <c r="N279" s="6" t="n">
        <f aca="false">1/(1+EXP(-M279))</f>
        <v>0.686255588932962</v>
      </c>
      <c r="O279" s="6" t="n">
        <f aca="false">IF(L279=1,N279,1-N279)</f>
        <v>0.686255588932962</v>
      </c>
      <c r="P279" s="6" t="n">
        <f aca="false">LN(O279)</f>
        <v>-0.376505142026953</v>
      </c>
      <c r="AD279" s="8" t="n">
        <f aca="false">B279</f>
        <v>57</v>
      </c>
      <c r="AE279" s="8" t="n">
        <f aca="false">C279</f>
        <v>38700</v>
      </c>
      <c r="AF279" s="8" t="n">
        <f aca="false">D279</f>
        <v>7</v>
      </c>
      <c r="AG279" s="9" t="n">
        <f aca="false">E279*0.85</f>
        <v>55.012</v>
      </c>
      <c r="AH279" s="9" t="n">
        <f aca="false">F279*0.9</f>
        <v>5.4</v>
      </c>
      <c r="AI279" s="9" t="n">
        <f aca="false">G279</f>
        <v>0.67</v>
      </c>
      <c r="AJ279" s="9" t="n">
        <f aca="false">H279*1.2</f>
        <v>132</v>
      </c>
      <c r="AK279" s="8" t="n">
        <f aca="false">I279</f>
        <v>0</v>
      </c>
      <c r="AL279" s="8" t="n">
        <f aca="false">J279</f>
        <v>1</v>
      </c>
      <c r="AM279" s="9" t="n">
        <f aca="false">K279</f>
        <v>0.61</v>
      </c>
      <c r="AN279" s="6" t="n">
        <f aca="false">$R$2 + SUMPRODUCT(AD279:AM279,$S$2:$AB$2)</f>
        <v>0.455950096</v>
      </c>
      <c r="AO279" s="6" t="n">
        <f aca="false">1/(1+EXP(-AN279))</f>
        <v>0.612052987720563</v>
      </c>
    </row>
    <row r="280" customFormat="false" ht="15" hidden="false" customHeight="false" outlineLevel="0" collapsed="false">
      <c r="A280" s="3" t="s">
        <v>344</v>
      </c>
      <c r="B280" s="4" t="n">
        <v>18</v>
      </c>
      <c r="C280" s="4" t="n">
        <v>66500</v>
      </c>
      <c r="D280" s="4" t="n">
        <v>2</v>
      </c>
      <c r="E280" s="5" t="n">
        <v>44.67</v>
      </c>
      <c r="F280" s="4" t="n">
        <v>2</v>
      </c>
      <c r="G280" s="5" t="n">
        <v>0.21</v>
      </c>
      <c r="H280" s="4" t="n">
        <v>94</v>
      </c>
      <c r="I280" s="4" t="n">
        <v>1</v>
      </c>
      <c r="J280" s="4" t="n">
        <v>1</v>
      </c>
      <c r="K280" s="5" t="n">
        <v>0.18</v>
      </c>
      <c r="L280" s="4" t="n">
        <v>0</v>
      </c>
      <c r="M280" s="6" t="n">
        <f aca="false">$R$2 + SUMPRODUCT(B280:K280,$S$2:$AB$2)</f>
        <v>-0.23930804</v>
      </c>
      <c r="N280" s="6" t="n">
        <f aca="false">1/(1+EXP(-M280))</f>
        <v>0.44045688043665</v>
      </c>
      <c r="O280" s="6" t="n">
        <f aca="false">IF(L280=1,N280,1-N280)</f>
        <v>0.559543119563351</v>
      </c>
      <c r="P280" s="6" t="n">
        <f aca="false">LN(O280)</f>
        <v>-0.580634686168735</v>
      </c>
      <c r="AD280" s="8" t="n">
        <f aca="false">B280</f>
        <v>18</v>
      </c>
      <c r="AE280" s="8" t="n">
        <f aca="false">C280</f>
        <v>66500</v>
      </c>
      <c r="AF280" s="8" t="n">
        <f aca="false">D280</f>
        <v>2</v>
      </c>
      <c r="AG280" s="9" t="n">
        <f aca="false">E280*0.85</f>
        <v>37.9695</v>
      </c>
      <c r="AH280" s="9" t="n">
        <f aca="false">F280*0.9</f>
        <v>1.8</v>
      </c>
      <c r="AI280" s="9" t="n">
        <f aca="false">G280</f>
        <v>0.21</v>
      </c>
      <c r="AJ280" s="9" t="n">
        <f aca="false">H280*1.2</f>
        <v>112.8</v>
      </c>
      <c r="AK280" s="8" t="n">
        <f aca="false">I280</f>
        <v>1</v>
      </c>
      <c r="AL280" s="8" t="n">
        <f aca="false">J280</f>
        <v>1</v>
      </c>
      <c r="AM280" s="9" t="n">
        <f aca="false">K280</f>
        <v>0.18</v>
      </c>
      <c r="AN280" s="6" t="n">
        <f aca="false">$R$2 + SUMPRODUCT(AD280:AM280,$S$2:$AB$2)</f>
        <v>-0.4607788565</v>
      </c>
      <c r="AO280" s="6" t="n">
        <f aca="false">1/(1+EXP(-AN280))</f>
        <v>0.38680107372116</v>
      </c>
    </row>
    <row r="281" customFormat="false" ht="15" hidden="false" customHeight="false" outlineLevel="0" collapsed="false">
      <c r="A281" s="3" t="s">
        <v>345</v>
      </c>
      <c r="B281" s="4" t="n">
        <v>28</v>
      </c>
      <c r="C281" s="4" t="n">
        <v>25100</v>
      </c>
      <c r="D281" s="4" t="n">
        <v>5</v>
      </c>
      <c r="E281" s="5" t="n">
        <v>85.58</v>
      </c>
      <c r="F281" s="4" t="n">
        <v>9</v>
      </c>
      <c r="G281" s="5" t="n">
        <v>0.38</v>
      </c>
      <c r="H281" s="4" t="n">
        <v>136</v>
      </c>
      <c r="I281" s="4" t="n">
        <v>0</v>
      </c>
      <c r="J281" s="4" t="n">
        <v>1</v>
      </c>
      <c r="K281" s="5" t="n">
        <v>0.55</v>
      </c>
      <c r="L281" s="4" t="n">
        <v>1</v>
      </c>
      <c r="M281" s="6" t="n">
        <f aca="false">$R$2 + SUMPRODUCT(B281:K281,$S$2:$AB$2)</f>
        <v>0.35764127</v>
      </c>
      <c r="N281" s="6" t="n">
        <f aca="false">1/(1+EXP(-M281))</f>
        <v>0.588469332359916</v>
      </c>
      <c r="O281" s="6" t="n">
        <f aca="false">IF(L281=1,N281,1-N281)</f>
        <v>0.588469332359916</v>
      </c>
      <c r="P281" s="6" t="n">
        <f aca="false">LN(O281)</f>
        <v>-0.53023046517761</v>
      </c>
      <c r="AD281" s="8" t="n">
        <f aca="false">B281</f>
        <v>28</v>
      </c>
      <c r="AE281" s="8" t="n">
        <f aca="false">C281</f>
        <v>25100</v>
      </c>
      <c r="AF281" s="8" t="n">
        <f aca="false">D281</f>
        <v>5</v>
      </c>
      <c r="AG281" s="9" t="n">
        <f aca="false">E281*0.85</f>
        <v>72.743</v>
      </c>
      <c r="AH281" s="9" t="n">
        <f aca="false">F281*0.9</f>
        <v>8.1</v>
      </c>
      <c r="AI281" s="9" t="n">
        <f aca="false">G281</f>
        <v>0.38</v>
      </c>
      <c r="AJ281" s="9" t="n">
        <f aca="false">H281*1.2</f>
        <v>163.2</v>
      </c>
      <c r="AK281" s="8" t="n">
        <f aca="false">I281</f>
        <v>0</v>
      </c>
      <c r="AL281" s="8" t="n">
        <f aca="false">J281</f>
        <v>1</v>
      </c>
      <c r="AM281" s="9" t="n">
        <f aca="false">K281</f>
        <v>0.55</v>
      </c>
      <c r="AN281" s="6" t="n">
        <f aca="false">$R$2 + SUMPRODUCT(AD281:AM281,$S$2:$AB$2)</f>
        <v>-0.0758724509999995</v>
      </c>
      <c r="AO281" s="6" t="n">
        <f aca="false">1/(1+EXP(-AN281))</f>
        <v>0.48104098138026</v>
      </c>
    </row>
    <row r="282" customFormat="false" ht="15" hidden="false" customHeight="false" outlineLevel="0" collapsed="false">
      <c r="A282" s="3" t="s">
        <v>346</v>
      </c>
      <c r="B282" s="4" t="n">
        <v>45</v>
      </c>
      <c r="C282" s="4" t="n">
        <v>53800</v>
      </c>
      <c r="D282" s="4" t="n">
        <v>2</v>
      </c>
      <c r="E282" s="5" t="n">
        <v>70.64</v>
      </c>
      <c r="F282" s="4" t="n">
        <v>2</v>
      </c>
      <c r="G282" s="5" t="n">
        <v>0.79</v>
      </c>
      <c r="H282" s="4" t="n">
        <v>231</v>
      </c>
      <c r="I282" s="4" t="n">
        <v>0</v>
      </c>
      <c r="J282" s="4" t="n">
        <v>0</v>
      </c>
      <c r="K282" s="5" t="n">
        <v>0.32</v>
      </c>
      <c r="L282" s="4" t="n">
        <v>0</v>
      </c>
      <c r="M282" s="6" t="n">
        <f aca="false">$R$2 + SUMPRODUCT(B282:K282,$S$2:$AB$2)</f>
        <v>-1.51996923</v>
      </c>
      <c r="N282" s="6" t="n">
        <f aca="false">1/(1+EXP(-M282))</f>
        <v>0.179466050490904</v>
      </c>
      <c r="O282" s="6" t="n">
        <f aca="false">IF(L282=1,N282,1-N282)</f>
        <v>0.820533949509096</v>
      </c>
      <c r="P282" s="6" t="n">
        <f aca="false">LN(O282)</f>
        <v>-0.197799992697259</v>
      </c>
      <c r="AD282" s="8" t="n">
        <f aca="false">B282</f>
        <v>45</v>
      </c>
      <c r="AE282" s="8" t="n">
        <f aca="false">C282</f>
        <v>53800</v>
      </c>
      <c r="AF282" s="8" t="n">
        <f aca="false">D282</f>
        <v>2</v>
      </c>
      <c r="AG282" s="9" t="n">
        <f aca="false">E282*0.85</f>
        <v>60.044</v>
      </c>
      <c r="AH282" s="9" t="n">
        <f aca="false">F282*0.9</f>
        <v>1.8</v>
      </c>
      <c r="AI282" s="9" t="n">
        <f aca="false">G282</f>
        <v>0.79</v>
      </c>
      <c r="AJ282" s="9" t="n">
        <f aca="false">H282*1.2</f>
        <v>277.2</v>
      </c>
      <c r="AK282" s="8" t="n">
        <f aca="false">I282</f>
        <v>0</v>
      </c>
      <c r="AL282" s="8" t="n">
        <f aca="false">J282</f>
        <v>0</v>
      </c>
      <c r="AM282" s="9" t="n">
        <f aca="false">K282</f>
        <v>0.32</v>
      </c>
      <c r="AN282" s="6" t="n">
        <f aca="false">$R$2 + SUMPRODUCT(AD282:AM282,$S$2:$AB$2)</f>
        <v>-1.951537498</v>
      </c>
      <c r="AO282" s="6" t="n">
        <f aca="false">1/(1+EXP(-AN282))</f>
        <v>0.124385806435548</v>
      </c>
    </row>
    <row r="283" customFormat="false" ht="15" hidden="false" customHeight="false" outlineLevel="0" collapsed="false">
      <c r="A283" s="3" t="s">
        <v>347</v>
      </c>
      <c r="B283" s="4" t="n">
        <v>42</v>
      </c>
      <c r="C283" s="4" t="n">
        <v>33200</v>
      </c>
      <c r="D283" s="4" t="n">
        <v>9</v>
      </c>
      <c r="E283" s="5" t="n">
        <v>65.44</v>
      </c>
      <c r="F283" s="4" t="n">
        <v>2</v>
      </c>
      <c r="G283" s="5" t="n">
        <v>0.84</v>
      </c>
      <c r="H283" s="4" t="n">
        <v>8</v>
      </c>
      <c r="I283" s="4" t="n">
        <v>0</v>
      </c>
      <c r="J283" s="4" t="n">
        <v>0</v>
      </c>
      <c r="K283" s="5" t="n">
        <v>0.28</v>
      </c>
      <c r="L283" s="4" t="n">
        <v>0</v>
      </c>
      <c r="M283" s="6" t="n">
        <f aca="false">$R$2 + SUMPRODUCT(B283:K283,$S$2:$AB$2)</f>
        <v>0.6150574</v>
      </c>
      <c r="N283" s="6" t="n">
        <f aca="false">1/(1+EXP(-M283))</f>
        <v>0.649093598417536</v>
      </c>
      <c r="O283" s="6" t="n">
        <f aca="false">IF(L283=1,N283,1-N283)</f>
        <v>0.350906401582464</v>
      </c>
      <c r="P283" s="6" t="n">
        <f aca="false">LN(O283)</f>
        <v>-1.04723575323517</v>
      </c>
      <c r="AD283" s="8" t="n">
        <f aca="false">B283</f>
        <v>42</v>
      </c>
      <c r="AE283" s="8" t="n">
        <f aca="false">C283</f>
        <v>33200</v>
      </c>
      <c r="AF283" s="8" t="n">
        <f aca="false">D283</f>
        <v>9</v>
      </c>
      <c r="AG283" s="9" t="n">
        <f aca="false">E283*0.85</f>
        <v>55.624</v>
      </c>
      <c r="AH283" s="9" t="n">
        <f aca="false">F283*0.9</f>
        <v>1.8</v>
      </c>
      <c r="AI283" s="9" t="n">
        <f aca="false">G283</f>
        <v>0.84</v>
      </c>
      <c r="AJ283" s="9" t="n">
        <f aca="false">H283*1.2</f>
        <v>9.6</v>
      </c>
      <c r="AK283" s="8" t="n">
        <f aca="false">I283</f>
        <v>0</v>
      </c>
      <c r="AL283" s="8" t="n">
        <f aca="false">J283</f>
        <v>0</v>
      </c>
      <c r="AM283" s="9" t="n">
        <f aca="false">K283</f>
        <v>0.28</v>
      </c>
      <c r="AN283" s="6" t="n">
        <f aca="false">$R$2 + SUMPRODUCT(AD283:AM283,$S$2:$AB$2)</f>
        <v>0.450773672</v>
      </c>
      <c r="AO283" s="6" t="n">
        <f aca="false">1/(1+EXP(-AN283))</f>
        <v>0.610823165645807</v>
      </c>
    </row>
    <row r="284" customFormat="false" ht="15" hidden="false" customHeight="false" outlineLevel="0" collapsed="false">
      <c r="A284" s="3" t="s">
        <v>348</v>
      </c>
      <c r="B284" s="4" t="n">
        <v>67</v>
      </c>
      <c r="C284" s="4" t="n">
        <v>43300</v>
      </c>
      <c r="D284" s="4" t="n">
        <v>10</v>
      </c>
      <c r="E284" s="5" t="n">
        <v>40.62</v>
      </c>
      <c r="F284" s="4" t="n">
        <v>2</v>
      </c>
      <c r="G284" s="5" t="n">
        <v>0.76</v>
      </c>
      <c r="H284" s="4" t="n">
        <v>328</v>
      </c>
      <c r="I284" s="4" t="n">
        <v>0</v>
      </c>
      <c r="J284" s="4" t="n">
        <v>1</v>
      </c>
      <c r="K284" s="5" t="n">
        <v>0.16</v>
      </c>
      <c r="L284" s="4" t="n">
        <v>0</v>
      </c>
      <c r="M284" s="6" t="n">
        <f aca="false">$R$2 + SUMPRODUCT(B284:K284,$S$2:$AB$2)</f>
        <v>-1.0672453</v>
      </c>
      <c r="N284" s="6" t="n">
        <f aca="false">1/(1+EXP(-M284))</f>
        <v>0.255927304825399</v>
      </c>
      <c r="O284" s="6" t="n">
        <f aca="false">IF(L284=1,N284,1-N284)</f>
        <v>0.744072695174601</v>
      </c>
      <c r="P284" s="6" t="n">
        <f aca="false">LN(O284)</f>
        <v>-0.295616540354204</v>
      </c>
      <c r="AD284" s="8" t="n">
        <f aca="false">B284</f>
        <v>67</v>
      </c>
      <c r="AE284" s="8" t="n">
        <f aca="false">C284</f>
        <v>43300</v>
      </c>
      <c r="AF284" s="8" t="n">
        <f aca="false">D284</f>
        <v>10</v>
      </c>
      <c r="AG284" s="9" t="n">
        <f aca="false">E284*0.85</f>
        <v>34.527</v>
      </c>
      <c r="AH284" s="9" t="n">
        <f aca="false">F284*0.9</f>
        <v>1.8</v>
      </c>
      <c r="AI284" s="9" t="n">
        <f aca="false">G284</f>
        <v>0.76</v>
      </c>
      <c r="AJ284" s="9" t="n">
        <f aca="false">H284*1.2</f>
        <v>393.6</v>
      </c>
      <c r="AK284" s="8" t="n">
        <f aca="false">I284</f>
        <v>0</v>
      </c>
      <c r="AL284" s="8" t="n">
        <f aca="false">J284</f>
        <v>1</v>
      </c>
      <c r="AM284" s="9" t="n">
        <f aca="false">K284</f>
        <v>0.16</v>
      </c>
      <c r="AN284" s="6" t="n">
        <f aca="false">$R$2 + SUMPRODUCT(AD284:AM284,$S$2:$AB$2)</f>
        <v>-1.550029969</v>
      </c>
      <c r="AO284" s="6" t="n">
        <f aca="false">1/(1+EXP(-AN284))</f>
        <v>0.175081939751545</v>
      </c>
    </row>
    <row r="285" customFormat="false" ht="15" hidden="false" customHeight="false" outlineLevel="0" collapsed="false">
      <c r="A285" s="3" t="s">
        <v>349</v>
      </c>
      <c r="B285" s="4" t="n">
        <v>40</v>
      </c>
      <c r="C285" s="4" t="n">
        <v>55900</v>
      </c>
      <c r="D285" s="4" t="n">
        <v>6</v>
      </c>
      <c r="E285" s="5" t="n">
        <v>97.59</v>
      </c>
      <c r="F285" s="4" t="n">
        <v>3</v>
      </c>
      <c r="G285" s="5" t="n">
        <v>0.42</v>
      </c>
      <c r="H285" s="4" t="n">
        <v>290</v>
      </c>
      <c r="I285" s="4" t="n">
        <v>1</v>
      </c>
      <c r="J285" s="4" t="n">
        <v>1</v>
      </c>
      <c r="K285" s="5" t="n">
        <v>0.16</v>
      </c>
      <c r="L285" s="4" t="n">
        <v>1</v>
      </c>
      <c r="M285" s="6" t="n">
        <f aca="false">$R$2 + SUMPRODUCT(B285:K285,$S$2:$AB$2)</f>
        <v>0.0416315700000007</v>
      </c>
      <c r="N285" s="6" t="n">
        <f aca="false">1/(1+EXP(-M285))</f>
        <v>0.510406389524624</v>
      </c>
      <c r="O285" s="6" t="n">
        <f aca="false">IF(L285=1,N285,1-N285)</f>
        <v>0.510406389524624</v>
      </c>
      <c r="P285" s="6" t="n">
        <f aca="false">LN(O285)</f>
        <v>-0.672548028368818</v>
      </c>
      <c r="AD285" s="8" t="n">
        <f aca="false">B285</f>
        <v>40</v>
      </c>
      <c r="AE285" s="8" t="n">
        <f aca="false">C285</f>
        <v>55900</v>
      </c>
      <c r="AF285" s="8" t="n">
        <f aca="false">D285</f>
        <v>6</v>
      </c>
      <c r="AG285" s="9" t="n">
        <f aca="false">E285*0.85</f>
        <v>82.9515</v>
      </c>
      <c r="AH285" s="9" t="n">
        <f aca="false">F285*0.9</f>
        <v>2.7</v>
      </c>
      <c r="AI285" s="9" t="n">
        <f aca="false">G285</f>
        <v>0.42</v>
      </c>
      <c r="AJ285" s="9" t="n">
        <f aca="false">H285*1.2</f>
        <v>348</v>
      </c>
      <c r="AK285" s="8" t="n">
        <f aca="false">I285</f>
        <v>1</v>
      </c>
      <c r="AL285" s="8" t="n">
        <f aca="false">J285</f>
        <v>1</v>
      </c>
      <c r="AM285" s="9" t="n">
        <f aca="false">K285</f>
        <v>0.16</v>
      </c>
      <c r="AN285" s="6" t="n">
        <f aca="false">$R$2 + SUMPRODUCT(AD285:AM285,$S$2:$AB$2)</f>
        <v>-0.5237903005</v>
      </c>
      <c r="AO285" s="6" t="n">
        <f aca="false">1/(1+EXP(-AN285))</f>
        <v>0.371966362648163</v>
      </c>
    </row>
    <row r="286" customFormat="false" ht="15" hidden="false" customHeight="false" outlineLevel="0" collapsed="false">
      <c r="A286" s="3" t="s">
        <v>350</v>
      </c>
      <c r="B286" s="4" t="n">
        <v>48</v>
      </c>
      <c r="C286" s="4" t="n">
        <v>39500</v>
      </c>
      <c r="D286" s="4" t="n">
        <v>6</v>
      </c>
      <c r="E286" s="5" t="n">
        <v>81.62</v>
      </c>
      <c r="F286" s="4" t="n">
        <v>6</v>
      </c>
      <c r="G286" s="5" t="n">
        <v>0.5</v>
      </c>
      <c r="H286" s="4" t="n">
        <v>251</v>
      </c>
      <c r="I286" s="4" t="n">
        <v>0</v>
      </c>
      <c r="J286" s="4" t="n">
        <v>0</v>
      </c>
      <c r="K286" s="5" t="n">
        <v>0.37</v>
      </c>
      <c r="L286" s="4" t="n">
        <v>1</v>
      </c>
      <c r="M286" s="6" t="n">
        <f aca="false">$R$2 + SUMPRODUCT(B286:K286,$S$2:$AB$2)</f>
        <v>-1.05278483</v>
      </c>
      <c r="N286" s="6" t="n">
        <f aca="false">1/(1+EXP(-M286))</f>
        <v>0.258690695693224</v>
      </c>
      <c r="O286" s="6" t="n">
        <f aca="false">IF(L286=1,N286,1-N286)</f>
        <v>0.258690695693224</v>
      </c>
      <c r="P286" s="6" t="n">
        <f aca="false">LN(O286)</f>
        <v>-1.35212215606034</v>
      </c>
      <c r="AD286" s="8" t="n">
        <f aca="false">B286</f>
        <v>48</v>
      </c>
      <c r="AE286" s="8" t="n">
        <f aca="false">C286</f>
        <v>39500</v>
      </c>
      <c r="AF286" s="8" t="n">
        <f aca="false">D286</f>
        <v>6</v>
      </c>
      <c r="AG286" s="9" t="n">
        <f aca="false">E286*0.85</f>
        <v>69.377</v>
      </c>
      <c r="AH286" s="9" t="n">
        <f aca="false">F286*0.9</f>
        <v>5.4</v>
      </c>
      <c r="AI286" s="9" t="n">
        <f aca="false">G286</f>
        <v>0.5</v>
      </c>
      <c r="AJ286" s="9" t="n">
        <f aca="false">H286*1.2</f>
        <v>301.2</v>
      </c>
      <c r="AK286" s="8" t="n">
        <f aca="false">I286</f>
        <v>0</v>
      </c>
      <c r="AL286" s="8" t="n">
        <f aca="false">J286</f>
        <v>0</v>
      </c>
      <c r="AM286" s="9" t="n">
        <f aca="false">K286</f>
        <v>0.37</v>
      </c>
      <c r="AN286" s="6" t="n">
        <f aca="false">$R$2 + SUMPRODUCT(AD286:AM286,$S$2:$AB$2)</f>
        <v>-1.575934449</v>
      </c>
      <c r="AO286" s="6" t="n">
        <f aca="false">1/(1+EXP(-AN286))</f>
        <v>0.171372034045628</v>
      </c>
    </row>
    <row r="287" customFormat="false" ht="15" hidden="false" customHeight="false" outlineLevel="0" collapsed="false">
      <c r="A287" s="3" t="s">
        <v>351</v>
      </c>
      <c r="B287" s="4" t="n">
        <v>47</v>
      </c>
      <c r="C287" s="4" t="n">
        <v>48100</v>
      </c>
      <c r="D287" s="4" t="n">
        <v>13</v>
      </c>
      <c r="E287" s="5" t="n">
        <v>51.18</v>
      </c>
      <c r="F287" s="4" t="n">
        <v>2</v>
      </c>
      <c r="G287" s="5" t="n">
        <v>0.5</v>
      </c>
      <c r="H287" s="4" t="n">
        <v>361</v>
      </c>
      <c r="I287" s="4" t="n">
        <v>0</v>
      </c>
      <c r="J287" s="4" t="n">
        <v>0</v>
      </c>
      <c r="K287" s="5" t="n">
        <v>0.22</v>
      </c>
      <c r="L287" s="4" t="n">
        <v>0</v>
      </c>
      <c r="M287" s="6" t="n">
        <f aca="false">$R$2 + SUMPRODUCT(B287:K287,$S$2:$AB$2)</f>
        <v>-1.1978683</v>
      </c>
      <c r="N287" s="6" t="n">
        <f aca="false">1/(1+EXP(-M287))</f>
        <v>0.231854651130226</v>
      </c>
      <c r="O287" s="6" t="n">
        <f aca="false">IF(L287=1,N287,1-N287)</f>
        <v>0.768145348869774</v>
      </c>
      <c r="P287" s="6" t="n">
        <f aca="false">LN(O287)</f>
        <v>-0.263776307400335</v>
      </c>
      <c r="AD287" s="8" t="n">
        <f aca="false">B287</f>
        <v>47</v>
      </c>
      <c r="AE287" s="8" t="n">
        <f aca="false">C287</f>
        <v>48100</v>
      </c>
      <c r="AF287" s="8" t="n">
        <f aca="false">D287</f>
        <v>13</v>
      </c>
      <c r="AG287" s="9" t="n">
        <f aca="false">E287*0.85</f>
        <v>43.503</v>
      </c>
      <c r="AH287" s="9" t="n">
        <f aca="false">F287*0.9</f>
        <v>1.8</v>
      </c>
      <c r="AI287" s="9" t="n">
        <f aca="false">G287</f>
        <v>0.5</v>
      </c>
      <c r="AJ287" s="9" t="n">
        <f aca="false">H287*1.2</f>
        <v>433.2</v>
      </c>
      <c r="AK287" s="8" t="n">
        <f aca="false">I287</f>
        <v>0</v>
      </c>
      <c r="AL287" s="8" t="n">
        <f aca="false">J287</f>
        <v>0</v>
      </c>
      <c r="AM287" s="9" t="n">
        <f aca="false">K287</f>
        <v>0.22</v>
      </c>
      <c r="AN287" s="6" t="n">
        <f aca="false">$R$2 + SUMPRODUCT(AD287:AM287,$S$2:$AB$2)</f>
        <v>-1.739933641</v>
      </c>
      <c r="AO287" s="6" t="n">
        <f aca="false">1/(1+EXP(-AN287))</f>
        <v>0.149321363553085</v>
      </c>
    </row>
    <row r="288" customFormat="false" ht="15" hidden="false" customHeight="false" outlineLevel="0" collapsed="false">
      <c r="A288" s="3" t="s">
        <v>352</v>
      </c>
      <c r="B288" s="4" t="n">
        <v>59</v>
      </c>
      <c r="C288" s="4" t="n">
        <v>73100</v>
      </c>
      <c r="D288" s="4" t="n">
        <v>10</v>
      </c>
      <c r="E288" s="5" t="n">
        <v>90.05</v>
      </c>
      <c r="F288" s="4" t="n">
        <v>4</v>
      </c>
      <c r="G288" s="5" t="n">
        <v>0.24</v>
      </c>
      <c r="H288" s="4" t="n">
        <v>87</v>
      </c>
      <c r="I288" s="4" t="n">
        <v>0</v>
      </c>
      <c r="J288" s="4" t="n">
        <v>1</v>
      </c>
      <c r="K288" s="5" t="n">
        <v>0.21</v>
      </c>
      <c r="L288" s="4" t="n">
        <v>1</v>
      </c>
      <c r="M288" s="6" t="n">
        <f aca="false">$R$2 + SUMPRODUCT(B288:K288,$S$2:$AB$2)</f>
        <v>1.19241662</v>
      </c>
      <c r="N288" s="6" t="n">
        <f aca="false">1/(1+EXP(-M288))</f>
        <v>0.767172996154873</v>
      </c>
      <c r="O288" s="6" t="n">
        <f aca="false">IF(L288=1,N288,1-N288)</f>
        <v>0.767172996154873</v>
      </c>
      <c r="P288" s="6" t="n">
        <f aca="false">LN(O288)</f>
        <v>-0.265042953953547</v>
      </c>
      <c r="AD288" s="8" t="n">
        <f aca="false">B288</f>
        <v>59</v>
      </c>
      <c r="AE288" s="8" t="n">
        <f aca="false">C288</f>
        <v>73100</v>
      </c>
      <c r="AF288" s="8" t="n">
        <f aca="false">D288</f>
        <v>10</v>
      </c>
      <c r="AG288" s="9" t="n">
        <f aca="false">E288*0.85</f>
        <v>76.5425</v>
      </c>
      <c r="AH288" s="9" t="n">
        <f aca="false">F288*0.9</f>
        <v>3.6</v>
      </c>
      <c r="AI288" s="9" t="n">
        <f aca="false">G288</f>
        <v>0.24</v>
      </c>
      <c r="AJ288" s="9" t="n">
        <f aca="false">H288*1.2</f>
        <v>104.4</v>
      </c>
      <c r="AK288" s="8" t="n">
        <f aca="false">I288</f>
        <v>0</v>
      </c>
      <c r="AL288" s="8" t="n">
        <f aca="false">J288</f>
        <v>1</v>
      </c>
      <c r="AM288" s="9" t="n">
        <f aca="false">K288</f>
        <v>0.21</v>
      </c>
      <c r="AN288" s="6" t="n">
        <f aca="false">$R$2 + SUMPRODUCT(AD288:AM288,$S$2:$AB$2)</f>
        <v>0.8643559725</v>
      </c>
      <c r="AO288" s="6" t="n">
        <f aca="false">1/(1+EXP(-AN288))</f>
        <v>0.703569937699805</v>
      </c>
    </row>
    <row r="289" customFormat="false" ht="15" hidden="false" customHeight="false" outlineLevel="0" collapsed="false">
      <c r="A289" s="3" t="s">
        <v>353</v>
      </c>
      <c r="B289" s="4" t="n">
        <v>52</v>
      </c>
      <c r="C289" s="4" t="n">
        <v>44600</v>
      </c>
      <c r="D289" s="4" t="n">
        <v>5</v>
      </c>
      <c r="E289" s="5" t="n">
        <v>52.56</v>
      </c>
      <c r="F289" s="4" t="n">
        <v>3</v>
      </c>
      <c r="G289" s="5" t="n">
        <v>0.41</v>
      </c>
      <c r="H289" s="4" t="n">
        <v>204</v>
      </c>
      <c r="I289" s="4" t="n">
        <v>0</v>
      </c>
      <c r="J289" s="4" t="n">
        <v>0</v>
      </c>
      <c r="K289" s="5" t="n">
        <v>0.71</v>
      </c>
      <c r="L289" s="4" t="n">
        <v>0</v>
      </c>
      <c r="M289" s="6" t="n">
        <f aca="false">$R$2 + SUMPRODUCT(B289:K289,$S$2:$AB$2)</f>
        <v>-1.39970098</v>
      </c>
      <c r="N289" s="6" t="n">
        <f aca="false">1/(1+EXP(-M289))</f>
        <v>0.197863565687033</v>
      </c>
      <c r="O289" s="6" t="n">
        <f aca="false">IF(L289=1,N289,1-N289)</f>
        <v>0.802136434312967</v>
      </c>
      <c r="P289" s="6" t="n">
        <f aca="false">LN(O289)</f>
        <v>-0.220476567986765</v>
      </c>
      <c r="AD289" s="8" t="n">
        <f aca="false">B289</f>
        <v>52</v>
      </c>
      <c r="AE289" s="8" t="n">
        <f aca="false">C289</f>
        <v>44600</v>
      </c>
      <c r="AF289" s="8" t="n">
        <f aca="false">D289</f>
        <v>5</v>
      </c>
      <c r="AG289" s="9" t="n">
        <f aca="false">E289*0.85</f>
        <v>44.676</v>
      </c>
      <c r="AH289" s="9" t="n">
        <f aca="false">F289*0.9</f>
        <v>2.7</v>
      </c>
      <c r="AI289" s="9" t="n">
        <f aca="false">G289</f>
        <v>0.41</v>
      </c>
      <c r="AJ289" s="9" t="n">
        <f aca="false">H289*1.2</f>
        <v>244.8</v>
      </c>
      <c r="AK289" s="8" t="n">
        <f aca="false">I289</f>
        <v>0</v>
      </c>
      <c r="AL289" s="8" t="n">
        <f aca="false">J289</f>
        <v>0</v>
      </c>
      <c r="AM289" s="9" t="n">
        <f aca="false">K289</f>
        <v>0.71</v>
      </c>
      <c r="AN289" s="6" t="n">
        <f aca="false">$R$2 + SUMPRODUCT(AD289:AM289,$S$2:$AB$2)</f>
        <v>-1.775352052</v>
      </c>
      <c r="AO289" s="6" t="n">
        <f aca="false">1/(1+EXP(-AN289))</f>
        <v>0.144878010885327</v>
      </c>
    </row>
    <row r="290" customFormat="false" ht="15" hidden="false" customHeight="false" outlineLevel="0" collapsed="false">
      <c r="A290" s="3" t="s">
        <v>354</v>
      </c>
      <c r="B290" s="4" t="n">
        <v>24</v>
      </c>
      <c r="C290" s="4" t="n">
        <v>70000</v>
      </c>
      <c r="D290" s="4" t="n">
        <v>8</v>
      </c>
      <c r="E290" s="5" t="n">
        <v>45.45</v>
      </c>
      <c r="F290" s="4" t="n">
        <v>9</v>
      </c>
      <c r="G290" s="5" t="n">
        <v>0.3</v>
      </c>
      <c r="H290" s="4" t="n">
        <v>219</v>
      </c>
      <c r="I290" s="4" t="n">
        <v>0</v>
      </c>
      <c r="J290" s="4" t="n">
        <v>0</v>
      </c>
      <c r="K290" s="5" t="n">
        <v>0.47</v>
      </c>
      <c r="L290" s="4" t="n">
        <v>0</v>
      </c>
      <c r="M290" s="6" t="n">
        <f aca="false">$R$2 + SUMPRODUCT(B290:K290,$S$2:$AB$2)</f>
        <v>0.133719660000001</v>
      </c>
      <c r="N290" s="6" t="n">
        <f aca="false">1/(1+EXP(-M290))</f>
        <v>0.533380190697035</v>
      </c>
      <c r="O290" s="6" t="n">
        <f aca="false">IF(L290=1,N290,1-N290)</f>
        <v>0.466619809302965</v>
      </c>
      <c r="P290" s="6" t="n">
        <f aca="false">LN(O290)</f>
        <v>-0.762240465724684</v>
      </c>
      <c r="AD290" s="8" t="n">
        <f aca="false">B290</f>
        <v>24</v>
      </c>
      <c r="AE290" s="8" t="n">
        <f aca="false">C290</f>
        <v>70000</v>
      </c>
      <c r="AF290" s="8" t="n">
        <f aca="false">D290</f>
        <v>8</v>
      </c>
      <c r="AG290" s="9" t="n">
        <f aca="false">E290*0.85</f>
        <v>38.6325</v>
      </c>
      <c r="AH290" s="9" t="n">
        <f aca="false">F290*0.9</f>
        <v>8.1</v>
      </c>
      <c r="AI290" s="9" t="n">
        <f aca="false">G290</f>
        <v>0.3</v>
      </c>
      <c r="AJ290" s="9" t="n">
        <f aca="false">H290*1.2</f>
        <v>262.8</v>
      </c>
      <c r="AK290" s="8" t="n">
        <f aca="false">I290</f>
        <v>0</v>
      </c>
      <c r="AL290" s="8" t="n">
        <f aca="false">J290</f>
        <v>0</v>
      </c>
      <c r="AM290" s="9" t="n">
        <f aca="false">K290</f>
        <v>0.47</v>
      </c>
      <c r="AN290" s="6" t="n">
        <f aca="false">$R$2 + SUMPRODUCT(AD290:AM290,$S$2:$AB$2)</f>
        <v>-0.3145169175</v>
      </c>
      <c r="AO290" s="6" t="n">
        <f aca="false">1/(1+EXP(-AN290))</f>
        <v>0.422012595174481</v>
      </c>
    </row>
    <row r="291" customFormat="false" ht="15" hidden="false" customHeight="false" outlineLevel="0" collapsed="false">
      <c r="A291" s="3" t="s">
        <v>355</v>
      </c>
      <c r="B291" s="4" t="n">
        <v>33</v>
      </c>
      <c r="C291" s="4" t="n">
        <v>34700</v>
      </c>
      <c r="D291" s="4" t="n">
        <v>7</v>
      </c>
      <c r="E291" s="5" t="n">
        <v>46.01</v>
      </c>
      <c r="F291" s="4" t="n">
        <v>4</v>
      </c>
      <c r="G291" s="5" t="n">
        <v>0.39</v>
      </c>
      <c r="H291" s="4" t="n">
        <v>241</v>
      </c>
      <c r="I291" s="4" t="n">
        <v>0</v>
      </c>
      <c r="J291" s="4" t="n">
        <v>0</v>
      </c>
      <c r="K291" s="5" t="n">
        <v>0.13</v>
      </c>
      <c r="L291" s="4" t="n">
        <v>0</v>
      </c>
      <c r="M291" s="6" t="n">
        <f aca="false">$R$2 + SUMPRODUCT(B291:K291,$S$2:$AB$2)</f>
        <v>-1.90927969</v>
      </c>
      <c r="N291" s="6" t="n">
        <f aca="false">1/(1+EXP(-M291))</f>
        <v>0.129061796852184</v>
      </c>
      <c r="O291" s="6" t="n">
        <f aca="false">IF(L291=1,N291,1-N291)</f>
        <v>0.870938203147816</v>
      </c>
      <c r="P291" s="6" t="n">
        <f aca="false">LN(O291)</f>
        <v>-0.1381842539603</v>
      </c>
      <c r="AD291" s="8" t="n">
        <f aca="false">B291</f>
        <v>33</v>
      </c>
      <c r="AE291" s="8" t="n">
        <f aca="false">C291</f>
        <v>34700</v>
      </c>
      <c r="AF291" s="8" t="n">
        <f aca="false">D291</f>
        <v>7</v>
      </c>
      <c r="AG291" s="9" t="n">
        <f aca="false">E291*0.85</f>
        <v>39.1085</v>
      </c>
      <c r="AH291" s="9" t="n">
        <f aca="false">F291*0.9</f>
        <v>3.6</v>
      </c>
      <c r="AI291" s="9" t="n">
        <f aca="false">G291</f>
        <v>0.39</v>
      </c>
      <c r="AJ291" s="9" t="n">
        <f aca="false">H291*1.2</f>
        <v>289.2</v>
      </c>
      <c r="AK291" s="8" t="n">
        <f aca="false">I291</f>
        <v>0</v>
      </c>
      <c r="AL291" s="8" t="n">
        <f aca="false">J291</f>
        <v>0</v>
      </c>
      <c r="AM291" s="9" t="n">
        <f aca="false">K291</f>
        <v>0.13</v>
      </c>
      <c r="AN291" s="6" t="n">
        <f aca="false">$R$2 + SUMPRODUCT(AD291:AM291,$S$2:$AB$2)</f>
        <v>-2.3259483395</v>
      </c>
      <c r="AO291" s="6" t="n">
        <f aca="false">1/(1+EXP(-AN291))</f>
        <v>0.0889966099853645</v>
      </c>
    </row>
    <row r="292" customFormat="false" ht="15" hidden="false" customHeight="false" outlineLevel="0" collapsed="false">
      <c r="A292" s="3" t="s">
        <v>356</v>
      </c>
      <c r="B292" s="4" t="n">
        <v>43</v>
      </c>
      <c r="C292" s="4" t="n">
        <v>64500</v>
      </c>
      <c r="D292" s="4" t="n">
        <v>7</v>
      </c>
      <c r="E292" s="5" t="n">
        <v>20.72</v>
      </c>
      <c r="F292" s="4" t="n">
        <v>0</v>
      </c>
      <c r="G292" s="5" t="n">
        <v>0.17</v>
      </c>
      <c r="H292" s="4" t="n">
        <v>320</v>
      </c>
      <c r="I292" s="4" t="n">
        <v>1</v>
      </c>
      <c r="J292" s="4" t="n">
        <v>1</v>
      </c>
      <c r="K292" s="5" t="n">
        <v>0.4</v>
      </c>
      <c r="L292" s="4" t="n">
        <v>0</v>
      </c>
      <c r="M292" s="6" t="n">
        <f aca="false">$R$2 + SUMPRODUCT(B292:K292,$S$2:$AB$2)</f>
        <v>-1.29903197</v>
      </c>
      <c r="N292" s="6" t="n">
        <f aca="false">1/(1+EXP(-M292))</f>
        <v>0.214327979899868</v>
      </c>
      <c r="O292" s="6" t="n">
        <f aca="false">IF(L292=1,N292,1-N292)</f>
        <v>0.785672020100132</v>
      </c>
      <c r="P292" s="6" t="n">
        <f aca="false">LN(O292)</f>
        <v>-0.241215850863593</v>
      </c>
      <c r="AD292" s="8" t="n">
        <f aca="false">B292</f>
        <v>43</v>
      </c>
      <c r="AE292" s="8" t="n">
        <f aca="false">C292</f>
        <v>64500</v>
      </c>
      <c r="AF292" s="8" t="n">
        <f aca="false">D292</f>
        <v>7</v>
      </c>
      <c r="AG292" s="9" t="n">
        <f aca="false">E292*0.85</f>
        <v>17.612</v>
      </c>
      <c r="AH292" s="9" t="n">
        <f aca="false">F292*0.9</f>
        <v>0</v>
      </c>
      <c r="AI292" s="9" t="n">
        <f aca="false">G292</f>
        <v>0.17</v>
      </c>
      <c r="AJ292" s="9" t="n">
        <f aca="false">H292*1.2</f>
        <v>384</v>
      </c>
      <c r="AK292" s="8" t="n">
        <f aca="false">I292</f>
        <v>1</v>
      </c>
      <c r="AL292" s="8" t="n">
        <f aca="false">J292</f>
        <v>1</v>
      </c>
      <c r="AM292" s="9" t="n">
        <f aca="false">K292</f>
        <v>0.4</v>
      </c>
      <c r="AN292" s="6" t="n">
        <f aca="false">$R$2 + SUMPRODUCT(AD292:AM292,$S$2:$AB$2)</f>
        <v>-1.709293734</v>
      </c>
      <c r="AO292" s="6" t="n">
        <f aca="false">1/(1+EXP(-AN292))</f>
        <v>0.153255344149775</v>
      </c>
    </row>
    <row r="293" customFormat="false" ht="15" hidden="false" customHeight="false" outlineLevel="0" collapsed="false">
      <c r="A293" s="3" t="s">
        <v>357</v>
      </c>
      <c r="B293" s="4" t="n">
        <v>65</v>
      </c>
      <c r="C293" s="4" t="n">
        <v>80900</v>
      </c>
      <c r="D293" s="4" t="n">
        <v>5</v>
      </c>
      <c r="E293" s="5" t="n">
        <v>76.79</v>
      </c>
      <c r="F293" s="4" t="n">
        <v>4</v>
      </c>
      <c r="G293" s="5" t="n">
        <v>0.12</v>
      </c>
      <c r="H293" s="4" t="n">
        <v>258</v>
      </c>
      <c r="I293" s="4" t="n">
        <v>1</v>
      </c>
      <c r="J293" s="4" t="n">
        <v>1</v>
      </c>
      <c r="K293" s="5" t="n">
        <v>0.5</v>
      </c>
      <c r="L293" s="4" t="n">
        <v>0</v>
      </c>
      <c r="M293" s="6" t="n">
        <f aca="false">$R$2 + SUMPRODUCT(B293:K293,$S$2:$AB$2)</f>
        <v>0.0522940900000002</v>
      </c>
      <c r="N293" s="6" t="n">
        <f aca="false">1/(1+EXP(-M293))</f>
        <v>0.513070543998358</v>
      </c>
      <c r="O293" s="6" t="n">
        <f aca="false">IF(L293=1,N293,1-N293)</f>
        <v>0.486929456001642</v>
      </c>
      <c r="P293" s="6" t="n">
        <f aca="false">LN(O293)</f>
        <v>-0.719636020598004</v>
      </c>
      <c r="AD293" s="8" t="n">
        <f aca="false">B293</f>
        <v>65</v>
      </c>
      <c r="AE293" s="8" t="n">
        <f aca="false">C293</f>
        <v>80900</v>
      </c>
      <c r="AF293" s="8" t="n">
        <f aca="false">D293</f>
        <v>5</v>
      </c>
      <c r="AG293" s="9" t="n">
        <f aca="false">E293*0.85</f>
        <v>65.2715</v>
      </c>
      <c r="AH293" s="9" t="n">
        <f aca="false">F293*0.9</f>
        <v>3.6</v>
      </c>
      <c r="AI293" s="9" t="n">
        <f aca="false">G293</f>
        <v>0.12</v>
      </c>
      <c r="AJ293" s="9" t="n">
        <f aca="false">H293*1.2</f>
        <v>309.6</v>
      </c>
      <c r="AK293" s="8" t="n">
        <f aca="false">I293</f>
        <v>1</v>
      </c>
      <c r="AL293" s="8" t="n">
        <f aca="false">J293</f>
        <v>1</v>
      </c>
      <c r="AM293" s="9" t="n">
        <f aca="false">K293</f>
        <v>0.5</v>
      </c>
      <c r="AN293" s="6" t="n">
        <f aca="false">$R$2 + SUMPRODUCT(AD293:AM293,$S$2:$AB$2)</f>
        <v>-0.445971920499999</v>
      </c>
      <c r="AO293" s="6" t="n">
        <f aca="false">1/(1+EXP(-AN293))</f>
        <v>0.390318903754749</v>
      </c>
    </row>
    <row r="294" customFormat="false" ht="15" hidden="false" customHeight="false" outlineLevel="0" collapsed="false">
      <c r="A294" s="3" t="s">
        <v>358</v>
      </c>
      <c r="B294" s="4" t="n">
        <v>69</v>
      </c>
      <c r="C294" s="4" t="n">
        <v>15000</v>
      </c>
      <c r="D294" s="4" t="n">
        <v>4</v>
      </c>
      <c r="E294" s="5" t="n">
        <v>19.22</v>
      </c>
      <c r="F294" s="4" t="n">
        <v>4</v>
      </c>
      <c r="G294" s="5" t="n">
        <v>0.54</v>
      </c>
      <c r="H294" s="4" t="n">
        <v>109</v>
      </c>
      <c r="I294" s="4" t="n">
        <v>0</v>
      </c>
      <c r="J294" s="4" t="n">
        <v>0</v>
      </c>
      <c r="K294" s="5" t="n">
        <v>0.36</v>
      </c>
      <c r="L294" s="4" t="n">
        <v>0</v>
      </c>
      <c r="M294" s="6" t="n">
        <f aca="false">$R$2 + SUMPRODUCT(B294:K294,$S$2:$AB$2)</f>
        <v>-2.43450052</v>
      </c>
      <c r="N294" s="6" t="n">
        <f aca="false">1/(1+EXP(-M294))</f>
        <v>0.0805794100252871</v>
      </c>
      <c r="O294" s="6" t="n">
        <f aca="false">IF(L294=1,N294,1-N294)</f>
        <v>0.919420589974713</v>
      </c>
      <c r="P294" s="6" t="n">
        <f aca="false">LN(O294)</f>
        <v>-0.0840116008480343</v>
      </c>
      <c r="AD294" s="8" t="n">
        <f aca="false">B294</f>
        <v>69</v>
      </c>
      <c r="AE294" s="8" t="n">
        <f aca="false">C294</f>
        <v>15000</v>
      </c>
      <c r="AF294" s="8" t="n">
        <f aca="false">D294</f>
        <v>4</v>
      </c>
      <c r="AG294" s="9" t="n">
        <f aca="false">E294*0.85</f>
        <v>16.337</v>
      </c>
      <c r="AH294" s="9" t="n">
        <f aca="false">F294*0.9</f>
        <v>3.6</v>
      </c>
      <c r="AI294" s="9" t="n">
        <f aca="false">G294</f>
        <v>0.54</v>
      </c>
      <c r="AJ294" s="9" t="n">
        <f aca="false">H294*1.2</f>
        <v>130.8</v>
      </c>
      <c r="AK294" s="8" t="n">
        <f aca="false">I294</f>
        <v>0</v>
      </c>
      <c r="AL294" s="8" t="n">
        <f aca="false">J294</f>
        <v>0</v>
      </c>
      <c r="AM294" s="9" t="n">
        <f aca="false">K294</f>
        <v>0.36</v>
      </c>
      <c r="AN294" s="6" t="n">
        <f aca="false">$R$2 + SUMPRODUCT(AD294:AM294,$S$2:$AB$2)</f>
        <v>-2.645177459</v>
      </c>
      <c r="AO294" s="6" t="n">
        <f aca="false">1/(1+EXP(-AN294))</f>
        <v>0.0662868670514143</v>
      </c>
    </row>
    <row r="295" customFormat="false" ht="15" hidden="false" customHeight="false" outlineLevel="0" collapsed="false">
      <c r="A295" s="3" t="s">
        <v>359</v>
      </c>
      <c r="B295" s="4" t="n">
        <v>66</v>
      </c>
      <c r="C295" s="4" t="n">
        <v>40700</v>
      </c>
      <c r="D295" s="4" t="n">
        <v>6</v>
      </c>
      <c r="E295" s="5" t="n">
        <v>34.29</v>
      </c>
      <c r="F295" s="4" t="n">
        <v>3</v>
      </c>
      <c r="G295" s="5" t="n">
        <v>0.4</v>
      </c>
      <c r="H295" s="4" t="n">
        <v>256</v>
      </c>
      <c r="I295" s="4" t="n">
        <v>0</v>
      </c>
      <c r="J295" s="4" t="n">
        <v>1</v>
      </c>
      <c r="K295" s="5" t="n">
        <v>0.39</v>
      </c>
      <c r="L295" s="4" t="n">
        <v>0</v>
      </c>
      <c r="M295" s="6" t="n">
        <f aca="false">$R$2 + SUMPRODUCT(B295:K295,$S$2:$AB$2)</f>
        <v>-1.75835616</v>
      </c>
      <c r="N295" s="6" t="n">
        <f aca="false">1/(1+EXP(-M295))</f>
        <v>0.146996338709935</v>
      </c>
      <c r="O295" s="6" t="n">
        <f aca="false">IF(L295=1,N295,1-N295)</f>
        <v>0.853003661290065</v>
      </c>
      <c r="P295" s="6" t="n">
        <f aca="false">LN(O295)</f>
        <v>-0.158991439248714</v>
      </c>
      <c r="AD295" s="8" t="n">
        <f aca="false">B295</f>
        <v>66</v>
      </c>
      <c r="AE295" s="8" t="n">
        <f aca="false">C295</f>
        <v>40700</v>
      </c>
      <c r="AF295" s="8" t="n">
        <f aca="false">D295</f>
        <v>6</v>
      </c>
      <c r="AG295" s="9" t="n">
        <f aca="false">E295*0.85</f>
        <v>29.1465</v>
      </c>
      <c r="AH295" s="9" t="n">
        <f aca="false">F295*0.9</f>
        <v>2.7</v>
      </c>
      <c r="AI295" s="9" t="n">
        <f aca="false">G295</f>
        <v>0.4</v>
      </c>
      <c r="AJ295" s="9" t="n">
        <f aca="false">H295*1.2</f>
        <v>307.2</v>
      </c>
      <c r="AK295" s="8" t="n">
        <f aca="false">I295</f>
        <v>0</v>
      </c>
      <c r="AL295" s="8" t="n">
        <f aca="false">J295</f>
        <v>1</v>
      </c>
      <c r="AM295" s="9" t="n">
        <f aca="false">K295</f>
        <v>0.39</v>
      </c>
      <c r="AN295" s="6" t="n">
        <f aca="false">$R$2 + SUMPRODUCT(AD295:AM295,$S$2:$AB$2)</f>
        <v>-2.1570772955</v>
      </c>
      <c r="AO295" s="6" t="n">
        <f aca="false">1/(1+EXP(-AN295))</f>
        <v>0.103671726132746</v>
      </c>
    </row>
    <row r="296" customFormat="false" ht="15" hidden="false" customHeight="false" outlineLevel="0" collapsed="false">
      <c r="A296" s="3" t="s">
        <v>360</v>
      </c>
      <c r="B296" s="4" t="n">
        <v>19</v>
      </c>
      <c r="C296" s="4" t="n">
        <v>65400</v>
      </c>
      <c r="D296" s="4" t="n">
        <v>4</v>
      </c>
      <c r="E296" s="5" t="n">
        <v>13.11</v>
      </c>
      <c r="F296" s="4" t="n">
        <v>3</v>
      </c>
      <c r="G296" s="5" t="n">
        <v>0.3</v>
      </c>
      <c r="H296" s="4" t="n">
        <v>282</v>
      </c>
      <c r="I296" s="4" t="n">
        <v>0</v>
      </c>
      <c r="J296" s="4" t="n">
        <v>0</v>
      </c>
      <c r="K296" s="5" t="n">
        <v>0.23</v>
      </c>
      <c r="L296" s="4" t="n">
        <v>0</v>
      </c>
      <c r="M296" s="6" t="n">
        <f aca="false">$R$2 + SUMPRODUCT(B296:K296,$S$2:$AB$2)</f>
        <v>-2.43752848</v>
      </c>
      <c r="N296" s="6" t="n">
        <f aca="false">1/(1+EXP(-M296))</f>
        <v>0.080355364171202</v>
      </c>
      <c r="O296" s="6" t="n">
        <f aca="false">IF(L296=1,N296,1-N296)</f>
        <v>0.919644635828798</v>
      </c>
      <c r="P296" s="6" t="n">
        <f aca="false">LN(O296)</f>
        <v>-0.0837679489622283</v>
      </c>
      <c r="AD296" s="8" t="n">
        <f aca="false">B296</f>
        <v>19</v>
      </c>
      <c r="AE296" s="8" t="n">
        <f aca="false">C296</f>
        <v>65400</v>
      </c>
      <c r="AF296" s="8" t="n">
        <f aca="false">D296</f>
        <v>4</v>
      </c>
      <c r="AG296" s="9" t="n">
        <f aca="false">E296*0.85</f>
        <v>11.1435</v>
      </c>
      <c r="AH296" s="9" t="n">
        <f aca="false">F296*0.9</f>
        <v>2.7</v>
      </c>
      <c r="AI296" s="9" t="n">
        <f aca="false">G296</f>
        <v>0.3</v>
      </c>
      <c r="AJ296" s="9" t="n">
        <f aca="false">H296*1.2</f>
        <v>338.4</v>
      </c>
      <c r="AK296" s="8" t="n">
        <f aca="false">I296</f>
        <v>0</v>
      </c>
      <c r="AL296" s="8" t="n">
        <f aca="false">J296</f>
        <v>0</v>
      </c>
      <c r="AM296" s="9" t="n">
        <f aca="false">K296</f>
        <v>0.23</v>
      </c>
      <c r="AN296" s="6" t="n">
        <f aca="false">$R$2 + SUMPRODUCT(AD296:AM296,$S$2:$AB$2)</f>
        <v>-2.8235145745</v>
      </c>
      <c r="AO296" s="6" t="n">
        <f aca="false">1/(1+EXP(-AN296))</f>
        <v>0.056066640671435</v>
      </c>
    </row>
    <row r="297" customFormat="false" ht="15" hidden="false" customHeight="false" outlineLevel="0" collapsed="false">
      <c r="A297" s="3" t="s">
        <v>361</v>
      </c>
      <c r="B297" s="4" t="n">
        <v>18</v>
      </c>
      <c r="C297" s="4" t="n">
        <v>51300</v>
      </c>
      <c r="D297" s="4" t="n">
        <v>7</v>
      </c>
      <c r="E297" s="5" t="n">
        <v>62.85</v>
      </c>
      <c r="F297" s="4" t="n">
        <v>1</v>
      </c>
      <c r="G297" s="5" t="n">
        <v>0.44</v>
      </c>
      <c r="H297" s="4" t="n">
        <v>220</v>
      </c>
      <c r="I297" s="4" t="n">
        <v>0</v>
      </c>
      <c r="J297" s="4" t="n">
        <v>1</v>
      </c>
      <c r="K297" s="5" t="n">
        <v>0.4</v>
      </c>
      <c r="L297" s="4" t="n">
        <v>0</v>
      </c>
      <c r="M297" s="6" t="n">
        <f aca="false">$R$2 + SUMPRODUCT(B297:K297,$S$2:$AB$2)</f>
        <v>-0.33579551</v>
      </c>
      <c r="N297" s="6" t="n">
        <f aca="false">1/(1+EXP(-M297))</f>
        <v>0.416831158101578</v>
      </c>
      <c r="O297" s="6" t="n">
        <f aca="false">IF(L297=1,N297,1-N297)</f>
        <v>0.583168841898422</v>
      </c>
      <c r="P297" s="6" t="n">
        <f aca="false">LN(O297)</f>
        <v>-0.539278525815014</v>
      </c>
      <c r="AD297" s="8" t="n">
        <f aca="false">B297</f>
        <v>18</v>
      </c>
      <c r="AE297" s="8" t="n">
        <f aca="false">C297</f>
        <v>51300</v>
      </c>
      <c r="AF297" s="8" t="n">
        <f aca="false">D297</f>
        <v>7</v>
      </c>
      <c r="AG297" s="9" t="n">
        <f aca="false">E297*0.85</f>
        <v>53.4225</v>
      </c>
      <c r="AH297" s="9" t="n">
        <f aca="false">F297*0.9</f>
        <v>0.9</v>
      </c>
      <c r="AI297" s="9" t="n">
        <f aca="false">G297</f>
        <v>0.44</v>
      </c>
      <c r="AJ297" s="9" t="n">
        <f aca="false">H297*1.2</f>
        <v>264</v>
      </c>
      <c r="AK297" s="8" t="n">
        <f aca="false">I297</f>
        <v>0</v>
      </c>
      <c r="AL297" s="8" t="n">
        <f aca="false">J297</f>
        <v>1</v>
      </c>
      <c r="AM297" s="9" t="n">
        <f aca="false">K297</f>
        <v>0.4</v>
      </c>
      <c r="AN297" s="6" t="n">
        <f aca="false">$R$2 + SUMPRODUCT(AD297:AM297,$S$2:$AB$2)</f>
        <v>-0.7273934175</v>
      </c>
      <c r="AO297" s="6" t="n">
        <f aca="false">1/(1+EXP(-AN297))</f>
        <v>0.325766984427039</v>
      </c>
    </row>
    <row r="298" customFormat="false" ht="15" hidden="false" customHeight="false" outlineLevel="0" collapsed="false">
      <c r="A298" s="3" t="s">
        <v>362</v>
      </c>
      <c r="B298" s="4" t="n">
        <v>65</v>
      </c>
      <c r="C298" s="4" t="n">
        <v>61700</v>
      </c>
      <c r="D298" s="4" t="n">
        <v>4</v>
      </c>
      <c r="E298" s="5" t="n">
        <v>61.24</v>
      </c>
      <c r="F298" s="4" t="n">
        <v>6</v>
      </c>
      <c r="G298" s="5" t="n">
        <v>0.41</v>
      </c>
      <c r="H298" s="4" t="n">
        <v>83</v>
      </c>
      <c r="I298" s="4" t="n">
        <v>1</v>
      </c>
      <c r="J298" s="4" t="n">
        <v>1</v>
      </c>
      <c r="K298" s="5" t="n">
        <v>0.19</v>
      </c>
      <c r="L298" s="4" t="n">
        <v>0</v>
      </c>
      <c r="M298" s="6" t="n">
        <f aca="false">$R$2 + SUMPRODUCT(B298:K298,$S$2:$AB$2)</f>
        <v>0.578218300000001</v>
      </c>
      <c r="N298" s="6" t="n">
        <f aca="false">1/(1+EXP(-M298))</f>
        <v>0.64065733422925</v>
      </c>
      <c r="O298" s="6" t="n">
        <f aca="false">IF(L298=1,N298,1-N298)</f>
        <v>0.35934266577075</v>
      </c>
      <c r="P298" s="6" t="n">
        <f aca="false">LN(O298)</f>
        <v>-1.02347884498586</v>
      </c>
      <c r="AD298" s="8" t="n">
        <f aca="false">B298</f>
        <v>65</v>
      </c>
      <c r="AE298" s="8" t="n">
        <f aca="false">C298</f>
        <v>61700</v>
      </c>
      <c r="AF298" s="8" t="n">
        <f aca="false">D298</f>
        <v>4</v>
      </c>
      <c r="AG298" s="9" t="n">
        <f aca="false">E298*0.85</f>
        <v>52.054</v>
      </c>
      <c r="AH298" s="9" t="n">
        <f aca="false">F298*0.9</f>
        <v>5.4</v>
      </c>
      <c r="AI298" s="9" t="n">
        <f aca="false">G298</f>
        <v>0.41</v>
      </c>
      <c r="AJ298" s="9" t="n">
        <f aca="false">H298*1.2</f>
        <v>99.6</v>
      </c>
      <c r="AK298" s="8" t="n">
        <f aca="false">I298</f>
        <v>1</v>
      </c>
      <c r="AL298" s="8" t="n">
        <f aca="false">J298</f>
        <v>1</v>
      </c>
      <c r="AM298" s="9" t="n">
        <f aca="false">K298</f>
        <v>0.19</v>
      </c>
      <c r="AN298" s="6" t="n">
        <f aca="false">$R$2 + SUMPRODUCT(AD298:AM298,$S$2:$AB$2)</f>
        <v>0.289602162</v>
      </c>
      <c r="AO298" s="6" t="n">
        <f aca="false">1/(1+EXP(-AN298))</f>
        <v>0.57189873281365</v>
      </c>
    </row>
    <row r="299" customFormat="false" ht="15" hidden="false" customHeight="false" outlineLevel="0" collapsed="false">
      <c r="A299" s="3" t="s">
        <v>363</v>
      </c>
      <c r="B299" s="4" t="n">
        <v>29</v>
      </c>
      <c r="C299" s="4" t="n">
        <v>44100</v>
      </c>
      <c r="D299" s="4" t="n">
        <v>6</v>
      </c>
      <c r="E299" s="5" t="n">
        <v>56.83</v>
      </c>
      <c r="F299" s="4" t="n">
        <v>8</v>
      </c>
      <c r="G299" s="5" t="n">
        <v>0.33</v>
      </c>
      <c r="H299" s="4" t="n">
        <v>107</v>
      </c>
      <c r="I299" s="4" t="n">
        <v>1</v>
      </c>
      <c r="J299" s="4" t="n">
        <v>1</v>
      </c>
      <c r="K299" s="5" t="n">
        <v>0.68</v>
      </c>
      <c r="L299" s="4" t="n">
        <v>1</v>
      </c>
      <c r="M299" s="6" t="n">
        <f aca="false">$R$2 + SUMPRODUCT(B299:K299,$S$2:$AB$2)</f>
        <v>1.42754926</v>
      </c>
      <c r="N299" s="6" t="n">
        <f aca="false">1/(1+EXP(-M299))</f>
        <v>0.806519174858968</v>
      </c>
      <c r="O299" s="6" t="n">
        <f aca="false">IF(L299=1,N299,1-N299)</f>
        <v>0.806519174858968</v>
      </c>
      <c r="P299" s="6" t="n">
        <f aca="false">LN(O299)</f>
        <v>-0.215027606300908</v>
      </c>
      <c r="AD299" s="8" t="n">
        <f aca="false">B299</f>
        <v>29</v>
      </c>
      <c r="AE299" s="8" t="n">
        <f aca="false">C299</f>
        <v>44100</v>
      </c>
      <c r="AF299" s="8" t="n">
        <f aca="false">D299</f>
        <v>6</v>
      </c>
      <c r="AG299" s="9" t="n">
        <f aca="false">E299*0.85</f>
        <v>48.3055</v>
      </c>
      <c r="AH299" s="9" t="n">
        <f aca="false">F299*0.9</f>
        <v>7.2</v>
      </c>
      <c r="AI299" s="9" t="n">
        <f aca="false">G299</f>
        <v>0.33</v>
      </c>
      <c r="AJ299" s="9" t="n">
        <f aca="false">H299*1.2</f>
        <v>128.4</v>
      </c>
      <c r="AK299" s="8" t="n">
        <f aca="false">I299</f>
        <v>1</v>
      </c>
      <c r="AL299" s="8" t="n">
        <f aca="false">J299</f>
        <v>1</v>
      </c>
      <c r="AM299" s="9" t="n">
        <f aca="false">K299</f>
        <v>0.68</v>
      </c>
      <c r="AN299" s="6" t="n">
        <f aca="false">$R$2 + SUMPRODUCT(AD299:AM299,$S$2:$AB$2)</f>
        <v>1.0969680515</v>
      </c>
      <c r="AO299" s="6" t="n">
        <f aca="false">1/(1+EXP(-AN299))</f>
        <v>0.749691578821073</v>
      </c>
    </row>
    <row r="300" customFormat="false" ht="15" hidden="false" customHeight="false" outlineLevel="0" collapsed="false">
      <c r="A300" s="3" t="s">
        <v>364</v>
      </c>
      <c r="B300" s="4" t="n">
        <v>22</v>
      </c>
      <c r="C300" s="4" t="n">
        <v>56600</v>
      </c>
      <c r="D300" s="4" t="n">
        <v>5</v>
      </c>
      <c r="E300" s="5" t="n">
        <v>38.94</v>
      </c>
      <c r="F300" s="4" t="n">
        <v>3</v>
      </c>
      <c r="G300" s="5" t="n">
        <v>0.23</v>
      </c>
      <c r="H300" s="4" t="n">
        <v>69</v>
      </c>
      <c r="I300" s="4" t="n">
        <v>1</v>
      </c>
      <c r="J300" s="4" t="n">
        <v>1</v>
      </c>
      <c r="K300" s="5" t="n">
        <v>0.59</v>
      </c>
      <c r="L300" s="4" t="n">
        <v>1</v>
      </c>
      <c r="M300" s="6" t="n">
        <f aca="false">$R$2 + SUMPRODUCT(B300:K300,$S$2:$AB$2)</f>
        <v>0.73721582</v>
      </c>
      <c r="N300" s="6" t="n">
        <f aca="false">1/(1+EXP(-M300))</f>
        <v>0.676386732954335</v>
      </c>
      <c r="O300" s="6" t="n">
        <f aca="false">IF(L300=1,N300,1-N300)</f>
        <v>0.676386732954335</v>
      </c>
      <c r="P300" s="6" t="n">
        <f aca="false">LN(O300)</f>
        <v>-0.390990276351233</v>
      </c>
      <c r="AD300" s="8" t="n">
        <f aca="false">B300</f>
        <v>22</v>
      </c>
      <c r="AE300" s="8" t="n">
        <f aca="false">C300</f>
        <v>56600</v>
      </c>
      <c r="AF300" s="8" t="n">
        <f aca="false">D300</f>
        <v>5</v>
      </c>
      <c r="AG300" s="9" t="n">
        <f aca="false">E300*0.85</f>
        <v>33.099</v>
      </c>
      <c r="AH300" s="9" t="n">
        <f aca="false">F300*0.9</f>
        <v>2.7</v>
      </c>
      <c r="AI300" s="9" t="n">
        <f aca="false">G300</f>
        <v>0.23</v>
      </c>
      <c r="AJ300" s="9" t="n">
        <f aca="false">H300*1.2</f>
        <v>82.8</v>
      </c>
      <c r="AK300" s="8" t="n">
        <f aca="false">I300</f>
        <v>1</v>
      </c>
      <c r="AL300" s="8" t="n">
        <f aca="false">J300</f>
        <v>1</v>
      </c>
      <c r="AM300" s="9" t="n">
        <f aca="false">K300</f>
        <v>0.59</v>
      </c>
      <c r="AN300" s="6" t="n">
        <f aca="false">$R$2 + SUMPRODUCT(AD300:AM300,$S$2:$AB$2)</f>
        <v>0.544474367</v>
      </c>
      <c r="AO300" s="6" t="n">
        <f aca="false">1/(1+EXP(-AN300))</f>
        <v>0.632852654293202</v>
      </c>
    </row>
    <row r="301" customFormat="false" ht="15" hidden="false" customHeight="false" outlineLevel="0" collapsed="false">
      <c r="A301" s="3" t="s">
        <v>365</v>
      </c>
      <c r="B301" s="4" t="n">
        <v>54</v>
      </c>
      <c r="C301" s="4" t="n">
        <v>52200</v>
      </c>
      <c r="D301" s="4" t="n">
        <v>5</v>
      </c>
      <c r="E301" s="5" t="n">
        <v>35.69</v>
      </c>
      <c r="F301" s="4" t="n">
        <v>2</v>
      </c>
      <c r="G301" s="5" t="n">
        <v>0.38</v>
      </c>
      <c r="H301" s="4" t="n">
        <v>97</v>
      </c>
      <c r="I301" s="4" t="n">
        <v>0</v>
      </c>
      <c r="J301" s="4" t="n">
        <v>0</v>
      </c>
      <c r="K301" s="5" t="n">
        <v>0.41</v>
      </c>
      <c r="L301" s="4" t="n">
        <v>0</v>
      </c>
      <c r="M301" s="6" t="n">
        <f aca="false">$R$2 + SUMPRODUCT(B301:K301,$S$2:$AB$2)</f>
        <v>-1.36596872</v>
      </c>
      <c r="N301" s="6" t="n">
        <f aca="false">1/(1+EXP(-M301))</f>
        <v>0.203271941225677</v>
      </c>
      <c r="O301" s="6" t="n">
        <f aca="false">IF(L301=1,N301,1-N301)</f>
        <v>0.796728058774323</v>
      </c>
      <c r="P301" s="6" t="n">
        <f aca="false">LN(O301)</f>
        <v>-0.227241864470755</v>
      </c>
      <c r="AD301" s="8" t="n">
        <f aca="false">B301</f>
        <v>54</v>
      </c>
      <c r="AE301" s="8" t="n">
        <f aca="false">C301</f>
        <v>52200</v>
      </c>
      <c r="AF301" s="8" t="n">
        <f aca="false">D301</f>
        <v>5</v>
      </c>
      <c r="AG301" s="9" t="n">
        <f aca="false">E301*0.85</f>
        <v>30.3365</v>
      </c>
      <c r="AH301" s="9" t="n">
        <f aca="false">F301*0.9</f>
        <v>1.8</v>
      </c>
      <c r="AI301" s="9" t="n">
        <f aca="false">G301</f>
        <v>0.38</v>
      </c>
      <c r="AJ301" s="9" t="n">
        <f aca="false">H301*1.2</f>
        <v>116.4</v>
      </c>
      <c r="AK301" s="8" t="n">
        <f aca="false">I301</f>
        <v>0</v>
      </c>
      <c r="AL301" s="8" t="n">
        <f aca="false">J301</f>
        <v>0</v>
      </c>
      <c r="AM301" s="9" t="n">
        <f aca="false">K301</f>
        <v>0.41</v>
      </c>
      <c r="AN301" s="6" t="n">
        <f aca="false">$R$2 + SUMPRODUCT(AD301:AM301,$S$2:$AB$2)</f>
        <v>-1.5728000855</v>
      </c>
      <c r="AO301" s="6" t="n">
        <f aca="false">1/(1+EXP(-AN301))</f>
        <v>0.171817583703357</v>
      </c>
    </row>
    <row r="302" customFormat="false" ht="15" hidden="false" customHeight="false" outlineLevel="0" collapsed="false">
      <c r="A302" s="3" t="s">
        <v>366</v>
      </c>
      <c r="B302" s="4" t="n">
        <v>49</v>
      </c>
      <c r="C302" s="4" t="n">
        <v>76000</v>
      </c>
      <c r="D302" s="4" t="n">
        <v>3</v>
      </c>
      <c r="E302" s="5" t="n">
        <v>76.61</v>
      </c>
      <c r="F302" s="4" t="n">
        <v>6</v>
      </c>
      <c r="G302" s="5" t="n">
        <v>0.44</v>
      </c>
      <c r="H302" s="4" t="n">
        <v>212</v>
      </c>
      <c r="I302" s="4" t="n">
        <v>0</v>
      </c>
      <c r="J302" s="4" t="n">
        <v>1</v>
      </c>
      <c r="K302" s="5" t="n">
        <v>0.44</v>
      </c>
      <c r="L302" s="4" t="n">
        <v>0</v>
      </c>
      <c r="M302" s="6" t="n">
        <f aca="false">$R$2 + SUMPRODUCT(B302:K302,$S$2:$AB$2)</f>
        <v>-0.0243901099999997</v>
      </c>
      <c r="N302" s="6" t="n">
        <f aca="false">1/(1+EXP(-M302))</f>
        <v>0.493902774755495</v>
      </c>
      <c r="O302" s="6" t="n">
        <f aca="false">IF(L302=1,N302,1-N302)</f>
        <v>0.506097225244505</v>
      </c>
      <c r="P302" s="6" t="n">
        <f aca="false">LN(O302)</f>
        <v>-0.681026483400124</v>
      </c>
      <c r="AD302" s="8" t="n">
        <f aca="false">B302</f>
        <v>49</v>
      </c>
      <c r="AE302" s="8" t="n">
        <f aca="false">C302</f>
        <v>76000</v>
      </c>
      <c r="AF302" s="8" t="n">
        <f aca="false">D302</f>
        <v>3</v>
      </c>
      <c r="AG302" s="9" t="n">
        <f aca="false">E302*0.85</f>
        <v>65.1185</v>
      </c>
      <c r="AH302" s="9" t="n">
        <f aca="false">F302*0.9</f>
        <v>5.4</v>
      </c>
      <c r="AI302" s="9" t="n">
        <f aca="false">G302</f>
        <v>0.44</v>
      </c>
      <c r="AJ302" s="9" t="n">
        <f aca="false">H302*1.2</f>
        <v>254.4</v>
      </c>
      <c r="AK302" s="8" t="n">
        <f aca="false">I302</f>
        <v>0</v>
      </c>
      <c r="AL302" s="8" t="n">
        <f aca="false">J302</f>
        <v>1</v>
      </c>
      <c r="AM302" s="9" t="n">
        <f aca="false">K302</f>
        <v>0.44</v>
      </c>
      <c r="AN302" s="6" t="n">
        <f aca="false">$R$2 + SUMPRODUCT(AD302:AM302,$S$2:$AB$2)</f>
        <v>-0.4925324295</v>
      </c>
      <c r="AO302" s="6" t="n">
        <f aca="false">1/(1+EXP(-AN302))</f>
        <v>0.379297173701732</v>
      </c>
    </row>
    <row r="303" customFormat="false" ht="15" hidden="false" customHeight="false" outlineLevel="0" collapsed="false">
      <c r="A303" s="3" t="s">
        <v>367</v>
      </c>
      <c r="B303" s="4" t="n">
        <v>26</v>
      </c>
      <c r="C303" s="4" t="n">
        <v>59600</v>
      </c>
      <c r="D303" s="4" t="n">
        <v>4</v>
      </c>
      <c r="E303" s="5" t="n">
        <v>51.24</v>
      </c>
      <c r="F303" s="4" t="n">
        <v>2</v>
      </c>
      <c r="G303" s="5" t="n">
        <v>0.42</v>
      </c>
      <c r="H303" s="4" t="n">
        <v>286</v>
      </c>
      <c r="I303" s="4" t="n">
        <v>1</v>
      </c>
      <c r="J303" s="4" t="n">
        <v>0</v>
      </c>
      <c r="K303" s="5" t="n">
        <v>0.09</v>
      </c>
      <c r="L303" s="4" t="n">
        <v>0</v>
      </c>
      <c r="M303" s="6" t="n">
        <f aca="false">$R$2 + SUMPRODUCT(B303:K303,$S$2:$AB$2)</f>
        <v>-1.51478129</v>
      </c>
      <c r="N303" s="6" t="n">
        <f aca="false">1/(1+EXP(-M303))</f>
        <v>0.180231286896697</v>
      </c>
      <c r="O303" s="6" t="n">
        <f aca="false">IF(L303=1,N303,1-N303)</f>
        <v>0.819768713103303</v>
      </c>
      <c r="P303" s="6" t="n">
        <f aca="false">LN(O303)</f>
        <v>-0.198733035700543</v>
      </c>
      <c r="AD303" s="8" t="n">
        <f aca="false">B303</f>
        <v>26</v>
      </c>
      <c r="AE303" s="8" t="n">
        <f aca="false">C303</f>
        <v>59600</v>
      </c>
      <c r="AF303" s="8" t="n">
        <f aca="false">D303</f>
        <v>4</v>
      </c>
      <c r="AG303" s="9" t="n">
        <f aca="false">E303*0.85</f>
        <v>43.554</v>
      </c>
      <c r="AH303" s="9" t="n">
        <f aca="false">F303*0.9</f>
        <v>1.8</v>
      </c>
      <c r="AI303" s="9" t="n">
        <f aca="false">G303</f>
        <v>0.42</v>
      </c>
      <c r="AJ303" s="9" t="n">
        <f aca="false">H303*1.2</f>
        <v>343.2</v>
      </c>
      <c r="AK303" s="8" t="n">
        <f aca="false">I303</f>
        <v>1</v>
      </c>
      <c r="AL303" s="8" t="n">
        <f aca="false">J303</f>
        <v>0</v>
      </c>
      <c r="AM303" s="9" t="n">
        <f aca="false">K303</f>
        <v>0.09</v>
      </c>
      <c r="AN303" s="6" t="n">
        <f aca="false">$R$2 + SUMPRODUCT(AD303:AM303,$S$2:$AB$2)</f>
        <v>-1.970597528</v>
      </c>
      <c r="AO303" s="6" t="n">
        <f aca="false">1/(1+EXP(-AN303))</f>
        <v>0.122324720911738</v>
      </c>
    </row>
    <row r="304" customFormat="false" ht="15" hidden="false" customHeight="false" outlineLevel="0" collapsed="false">
      <c r="A304" s="3" t="s">
        <v>368</v>
      </c>
      <c r="B304" s="4" t="n">
        <v>58</v>
      </c>
      <c r="C304" s="4" t="n">
        <v>61100</v>
      </c>
      <c r="D304" s="4" t="n">
        <v>10</v>
      </c>
      <c r="E304" s="5" t="n">
        <v>72.91</v>
      </c>
      <c r="F304" s="4" t="n">
        <v>6</v>
      </c>
      <c r="G304" s="5" t="n">
        <v>0.97</v>
      </c>
      <c r="H304" s="4" t="n">
        <v>237</v>
      </c>
      <c r="I304" s="4" t="n">
        <v>0</v>
      </c>
      <c r="J304" s="4" t="n">
        <v>0</v>
      </c>
      <c r="K304" s="5" t="n">
        <v>0.37</v>
      </c>
      <c r="L304" s="4" t="n">
        <v>0</v>
      </c>
      <c r="M304" s="6" t="n">
        <f aca="false">$R$2 + SUMPRODUCT(B304:K304,$S$2:$AB$2)</f>
        <v>0.82454311</v>
      </c>
      <c r="N304" s="6" t="n">
        <f aca="false">1/(1+EXP(-M304))</f>
        <v>0.69519986435654</v>
      </c>
      <c r="O304" s="6" t="n">
        <f aca="false">IF(L304=1,N304,1-N304)</f>
        <v>0.30480013564346</v>
      </c>
      <c r="P304" s="6" t="n">
        <f aca="false">LN(O304)</f>
        <v>-1.18809901014527</v>
      </c>
      <c r="AD304" s="8" t="n">
        <f aca="false">B304</f>
        <v>58</v>
      </c>
      <c r="AE304" s="8" t="n">
        <f aca="false">C304</f>
        <v>61100</v>
      </c>
      <c r="AF304" s="8" t="n">
        <f aca="false">D304</f>
        <v>10</v>
      </c>
      <c r="AG304" s="9" t="n">
        <f aca="false">E304*0.85</f>
        <v>61.9735</v>
      </c>
      <c r="AH304" s="9" t="n">
        <f aca="false">F304*0.9</f>
        <v>5.4</v>
      </c>
      <c r="AI304" s="9" t="n">
        <f aca="false">G304</f>
        <v>0.97</v>
      </c>
      <c r="AJ304" s="9" t="n">
        <f aca="false">H304*1.2</f>
        <v>284.4</v>
      </c>
      <c r="AK304" s="8" t="n">
        <f aca="false">I304</f>
        <v>0</v>
      </c>
      <c r="AL304" s="8" t="n">
        <f aca="false">J304</f>
        <v>0</v>
      </c>
      <c r="AM304" s="9" t="n">
        <f aca="false">K304</f>
        <v>0.37</v>
      </c>
      <c r="AN304" s="6" t="n">
        <f aca="false">$R$2 + SUMPRODUCT(AD304:AM304,$S$2:$AB$2)</f>
        <v>0.3350661055</v>
      </c>
      <c r="AO304" s="6" t="n">
        <f aca="false">1/(1+EXP(-AN304))</f>
        <v>0.582991525356566</v>
      </c>
    </row>
    <row r="305" customFormat="false" ht="15" hidden="false" customHeight="false" outlineLevel="0" collapsed="false">
      <c r="A305" s="3" t="s">
        <v>369</v>
      </c>
      <c r="B305" s="4" t="n">
        <v>52</v>
      </c>
      <c r="C305" s="4" t="n">
        <v>47600</v>
      </c>
      <c r="D305" s="4" t="n">
        <v>8</v>
      </c>
      <c r="E305" s="5" t="n">
        <v>42.87</v>
      </c>
      <c r="F305" s="4" t="n">
        <v>3</v>
      </c>
      <c r="G305" s="5" t="n">
        <v>0.26</v>
      </c>
      <c r="H305" s="4" t="n">
        <v>8</v>
      </c>
      <c r="I305" s="4" t="n">
        <v>0</v>
      </c>
      <c r="J305" s="4" t="n">
        <v>1</v>
      </c>
      <c r="K305" s="5" t="n">
        <v>0.37</v>
      </c>
      <c r="L305" s="4" t="n">
        <v>1</v>
      </c>
      <c r="M305" s="6" t="n">
        <f aca="false">$R$2 + SUMPRODUCT(B305:K305,$S$2:$AB$2)</f>
        <v>0.22903638</v>
      </c>
      <c r="N305" s="6" t="n">
        <f aca="false">1/(1+EXP(-M305))</f>
        <v>0.557010094588949</v>
      </c>
      <c r="O305" s="6" t="n">
        <f aca="false">IF(L305=1,N305,1-N305)</f>
        <v>0.557010094588949</v>
      </c>
      <c r="P305" s="6" t="n">
        <f aca="false">LN(O305)</f>
        <v>-0.58517191607913</v>
      </c>
      <c r="AD305" s="8" t="n">
        <f aca="false">B305</f>
        <v>52</v>
      </c>
      <c r="AE305" s="8" t="n">
        <f aca="false">C305</f>
        <v>47600</v>
      </c>
      <c r="AF305" s="8" t="n">
        <f aca="false">D305</f>
        <v>8</v>
      </c>
      <c r="AG305" s="9" t="n">
        <f aca="false">E305*0.85</f>
        <v>36.4395</v>
      </c>
      <c r="AH305" s="9" t="n">
        <f aca="false">F305*0.9</f>
        <v>2.7</v>
      </c>
      <c r="AI305" s="9" t="n">
        <f aca="false">G305</f>
        <v>0.26</v>
      </c>
      <c r="AJ305" s="9" t="n">
        <f aca="false">H305*1.2</f>
        <v>9.6</v>
      </c>
      <c r="AK305" s="8" t="n">
        <f aca="false">I305</f>
        <v>0</v>
      </c>
      <c r="AL305" s="8" t="n">
        <f aca="false">J305</f>
        <v>1</v>
      </c>
      <c r="AM305" s="9" t="n">
        <f aca="false">K305</f>
        <v>0.37</v>
      </c>
      <c r="AN305" s="6" t="n">
        <f aca="false">$R$2 + SUMPRODUCT(AD305:AM305,$S$2:$AB$2)</f>
        <v>0.0986237735</v>
      </c>
      <c r="AO305" s="6" t="n">
        <f aca="false">1/(1+EXP(-AN305))</f>
        <v>0.524635977819606</v>
      </c>
    </row>
    <row r="306" customFormat="false" ht="15" hidden="false" customHeight="false" outlineLevel="0" collapsed="false">
      <c r="A306" s="3" t="s">
        <v>370</v>
      </c>
      <c r="B306" s="4" t="n">
        <v>36</v>
      </c>
      <c r="C306" s="4" t="n">
        <v>46200</v>
      </c>
      <c r="D306" s="4" t="n">
        <v>2</v>
      </c>
      <c r="E306" s="5" t="n">
        <v>69.53</v>
      </c>
      <c r="F306" s="4" t="n">
        <v>3</v>
      </c>
      <c r="G306" s="5" t="n">
        <v>0.28</v>
      </c>
      <c r="H306" s="4" t="n">
        <v>294</v>
      </c>
      <c r="I306" s="4" t="n">
        <v>1</v>
      </c>
      <c r="J306" s="4" t="n">
        <v>0</v>
      </c>
      <c r="K306" s="5" t="n">
        <v>0.43</v>
      </c>
      <c r="L306" s="4" t="n">
        <v>0</v>
      </c>
      <c r="M306" s="6" t="n">
        <f aca="false">$R$2 + SUMPRODUCT(B306:K306,$S$2:$AB$2)</f>
        <v>-1.84435144</v>
      </c>
      <c r="N306" s="6" t="n">
        <f aca="false">1/(1+EXP(-M306))</f>
        <v>0.136537467763308</v>
      </c>
      <c r="O306" s="6" t="n">
        <f aca="false">IF(L306=1,N306,1-N306)</f>
        <v>0.863462532236692</v>
      </c>
      <c r="P306" s="6" t="n">
        <f aca="false">LN(O306)</f>
        <v>-0.146804772913882</v>
      </c>
      <c r="AD306" s="8" t="n">
        <f aca="false">B306</f>
        <v>36</v>
      </c>
      <c r="AE306" s="8" t="n">
        <f aca="false">C306</f>
        <v>46200</v>
      </c>
      <c r="AF306" s="8" t="n">
        <f aca="false">D306</f>
        <v>2</v>
      </c>
      <c r="AG306" s="9" t="n">
        <f aca="false">E306*0.85</f>
        <v>59.1005</v>
      </c>
      <c r="AH306" s="9" t="n">
        <f aca="false">F306*0.9</f>
        <v>2.7</v>
      </c>
      <c r="AI306" s="9" t="n">
        <f aca="false">G306</f>
        <v>0.28</v>
      </c>
      <c r="AJ306" s="9" t="n">
        <f aca="false">H306*1.2</f>
        <v>352.8</v>
      </c>
      <c r="AK306" s="8" t="n">
        <f aca="false">I306</f>
        <v>1</v>
      </c>
      <c r="AL306" s="8" t="n">
        <f aca="false">J306</f>
        <v>0</v>
      </c>
      <c r="AM306" s="9" t="n">
        <f aca="false">K306</f>
        <v>0.43</v>
      </c>
      <c r="AN306" s="6" t="n">
        <f aca="false">$R$2 + SUMPRODUCT(AD306:AM306,$S$2:$AB$2)</f>
        <v>-2.3578402135</v>
      </c>
      <c r="AO306" s="6" t="n">
        <f aca="false">1/(1+EXP(-AN306))</f>
        <v>0.0864446047399193</v>
      </c>
    </row>
    <row r="307" customFormat="false" ht="15" hidden="false" customHeight="false" outlineLevel="0" collapsed="false">
      <c r="A307" s="3" t="s">
        <v>371</v>
      </c>
      <c r="B307" s="4" t="n">
        <v>65</v>
      </c>
      <c r="C307" s="4" t="n">
        <v>47200</v>
      </c>
      <c r="D307" s="4" t="n">
        <v>7</v>
      </c>
      <c r="E307" s="5" t="n">
        <v>97.58</v>
      </c>
      <c r="F307" s="4" t="n">
        <v>1</v>
      </c>
      <c r="G307" s="5" t="n">
        <v>0.34</v>
      </c>
      <c r="H307" s="4" t="n">
        <v>189</v>
      </c>
      <c r="I307" s="4" t="n">
        <v>1</v>
      </c>
      <c r="J307" s="4" t="n">
        <v>1</v>
      </c>
      <c r="K307" s="5" t="n">
        <v>0.1</v>
      </c>
      <c r="L307" s="4" t="n">
        <v>0</v>
      </c>
      <c r="M307" s="6" t="n">
        <f aca="false">$R$2 + SUMPRODUCT(B307:K307,$S$2:$AB$2)</f>
        <v>-0.108932419999999</v>
      </c>
      <c r="N307" s="6" t="n">
        <f aca="false">1/(1+EXP(-M307))</f>
        <v>0.472793792702471</v>
      </c>
      <c r="O307" s="6" t="n">
        <f aca="false">IF(L307=1,N307,1-N307)</f>
        <v>0.527206207297529</v>
      </c>
      <c r="P307" s="6" t="n">
        <f aca="false">LN(O307)</f>
        <v>-0.640163521778312</v>
      </c>
      <c r="AD307" s="8" t="n">
        <f aca="false">B307</f>
        <v>65</v>
      </c>
      <c r="AE307" s="8" t="n">
        <f aca="false">C307</f>
        <v>47200</v>
      </c>
      <c r="AF307" s="8" t="n">
        <f aca="false">D307</f>
        <v>7</v>
      </c>
      <c r="AG307" s="9" t="n">
        <f aca="false">E307*0.85</f>
        <v>82.943</v>
      </c>
      <c r="AH307" s="9" t="n">
        <f aca="false">F307*0.9</f>
        <v>0.9</v>
      </c>
      <c r="AI307" s="9" t="n">
        <f aca="false">G307</f>
        <v>0.34</v>
      </c>
      <c r="AJ307" s="9" t="n">
        <f aca="false">H307*1.2</f>
        <v>226.8</v>
      </c>
      <c r="AK307" s="8" t="n">
        <f aca="false">I307</f>
        <v>1</v>
      </c>
      <c r="AL307" s="8" t="n">
        <f aca="false">J307</f>
        <v>1</v>
      </c>
      <c r="AM307" s="9" t="n">
        <f aca="false">K307</f>
        <v>0.1</v>
      </c>
      <c r="AN307" s="6" t="n">
        <f aca="false">$R$2 + SUMPRODUCT(AD307:AM307,$S$2:$AB$2)</f>
        <v>-0.534809941</v>
      </c>
      <c r="AO307" s="6" t="n">
        <f aca="false">1/(1+EXP(-AN307))</f>
        <v>0.369395746073949</v>
      </c>
    </row>
    <row r="308" customFormat="false" ht="15" hidden="false" customHeight="false" outlineLevel="0" collapsed="false">
      <c r="A308" s="3" t="s">
        <v>372</v>
      </c>
      <c r="B308" s="4" t="n">
        <v>33</v>
      </c>
      <c r="C308" s="4" t="n">
        <v>62100</v>
      </c>
      <c r="D308" s="4" t="n">
        <v>2</v>
      </c>
      <c r="E308" s="5" t="n">
        <v>79.65</v>
      </c>
      <c r="F308" s="4" t="n">
        <v>3</v>
      </c>
      <c r="G308" s="5" t="n">
        <v>0.35</v>
      </c>
      <c r="H308" s="4" t="n">
        <v>81</v>
      </c>
      <c r="I308" s="4" t="n">
        <v>1</v>
      </c>
      <c r="J308" s="4" t="n">
        <v>0</v>
      </c>
      <c r="K308" s="5" t="n">
        <v>0.45</v>
      </c>
      <c r="L308" s="4" t="n">
        <v>0</v>
      </c>
      <c r="M308" s="6" t="n">
        <f aca="false">$R$2 + SUMPRODUCT(B308:K308,$S$2:$AB$2)</f>
        <v>0.0567331500000003</v>
      </c>
      <c r="N308" s="6" t="n">
        <f aca="false">1/(1+EXP(-M308))</f>
        <v>0.5141794844705</v>
      </c>
      <c r="O308" s="6" t="n">
        <f aca="false">IF(L308=1,N308,1-N308)</f>
        <v>0.4858205155295</v>
      </c>
      <c r="P308" s="6" t="n">
        <f aca="false">LN(O308)</f>
        <v>-0.721916032903314</v>
      </c>
      <c r="AD308" s="8" t="n">
        <f aca="false">B308</f>
        <v>33</v>
      </c>
      <c r="AE308" s="8" t="n">
        <f aca="false">C308</f>
        <v>62100</v>
      </c>
      <c r="AF308" s="8" t="n">
        <f aca="false">D308</f>
        <v>2</v>
      </c>
      <c r="AG308" s="9" t="n">
        <f aca="false">E308*0.85</f>
        <v>67.7025</v>
      </c>
      <c r="AH308" s="9" t="n">
        <f aca="false">F308*0.9</f>
        <v>2.7</v>
      </c>
      <c r="AI308" s="9" t="n">
        <f aca="false">G308</f>
        <v>0.35</v>
      </c>
      <c r="AJ308" s="9" t="n">
        <f aca="false">H308*1.2</f>
        <v>97.2</v>
      </c>
      <c r="AK308" s="8" t="n">
        <f aca="false">I308</f>
        <v>1</v>
      </c>
      <c r="AL308" s="8" t="n">
        <f aca="false">J308</f>
        <v>0</v>
      </c>
      <c r="AM308" s="9" t="n">
        <f aca="false">K308</f>
        <v>0.45</v>
      </c>
      <c r="AN308" s="6" t="n">
        <f aca="false">$R$2 + SUMPRODUCT(AD308:AM308,$S$2:$AB$2)</f>
        <v>-0.2318561175</v>
      </c>
      <c r="AO308" s="6" t="n">
        <f aca="false">1/(1+EXP(-AN308))</f>
        <v>0.44229424789869</v>
      </c>
    </row>
    <row r="309" customFormat="false" ht="15" hidden="false" customHeight="false" outlineLevel="0" collapsed="false">
      <c r="A309" s="3" t="s">
        <v>373</v>
      </c>
      <c r="B309" s="4" t="n">
        <v>20</v>
      </c>
      <c r="C309" s="4" t="n">
        <v>47400</v>
      </c>
      <c r="D309" s="4" t="n">
        <v>6</v>
      </c>
      <c r="E309" s="5" t="n">
        <v>54.69</v>
      </c>
      <c r="F309" s="4" t="n">
        <v>4</v>
      </c>
      <c r="G309" s="5" t="n">
        <v>0.24</v>
      </c>
      <c r="H309" s="4" t="n">
        <v>108</v>
      </c>
      <c r="I309" s="4" t="n">
        <v>0</v>
      </c>
      <c r="J309" s="4" t="n">
        <v>0</v>
      </c>
      <c r="K309" s="5" t="n">
        <v>0.57</v>
      </c>
      <c r="L309" s="4" t="n">
        <v>0</v>
      </c>
      <c r="M309" s="6" t="n">
        <f aca="false">$R$2 + SUMPRODUCT(B309:K309,$S$2:$AB$2)</f>
        <v>-0.520155379999999</v>
      </c>
      <c r="N309" s="6" t="n">
        <f aca="false">1/(1+EXP(-M309))</f>
        <v>0.372815901363902</v>
      </c>
      <c r="O309" s="6" t="n">
        <f aca="false">IF(L309=1,N309,1-N309)</f>
        <v>0.627184098636098</v>
      </c>
      <c r="P309" s="6" t="n">
        <f aca="false">LN(O309)</f>
        <v>-0.466515163207225</v>
      </c>
      <c r="AD309" s="8" t="n">
        <f aca="false">B309</f>
        <v>20</v>
      </c>
      <c r="AE309" s="8" t="n">
        <f aca="false">C309</f>
        <v>47400</v>
      </c>
      <c r="AF309" s="8" t="n">
        <f aca="false">D309</f>
        <v>6</v>
      </c>
      <c r="AG309" s="9" t="n">
        <f aca="false">E309*0.85</f>
        <v>46.4865</v>
      </c>
      <c r="AH309" s="9" t="n">
        <f aca="false">F309*0.9</f>
        <v>3.6</v>
      </c>
      <c r="AI309" s="9" t="n">
        <f aca="false">G309</f>
        <v>0.24</v>
      </c>
      <c r="AJ309" s="9" t="n">
        <f aca="false">H309*1.2</f>
        <v>129.6</v>
      </c>
      <c r="AK309" s="8" t="n">
        <f aca="false">I309</f>
        <v>0</v>
      </c>
      <c r="AL309" s="8" t="n">
        <f aca="false">J309</f>
        <v>0</v>
      </c>
      <c r="AM309" s="9" t="n">
        <f aca="false">K309</f>
        <v>0.57</v>
      </c>
      <c r="AN309" s="6" t="n">
        <f aca="false">$R$2 + SUMPRODUCT(AD309:AM309,$S$2:$AB$2)</f>
        <v>-0.8011509955</v>
      </c>
      <c r="AO309" s="6" t="n">
        <f aca="false">1/(1+EXP(-AN309))</f>
        <v>0.309779363625712</v>
      </c>
    </row>
    <row r="310" customFormat="false" ht="15" hidden="false" customHeight="false" outlineLevel="0" collapsed="false">
      <c r="A310" s="3" t="s">
        <v>374</v>
      </c>
      <c r="B310" s="4" t="n">
        <v>37</v>
      </c>
      <c r="C310" s="4" t="n">
        <v>60200</v>
      </c>
      <c r="D310" s="4" t="n">
        <v>6</v>
      </c>
      <c r="E310" s="5" t="n">
        <v>71.43</v>
      </c>
      <c r="F310" s="4" t="n">
        <v>4</v>
      </c>
      <c r="G310" s="5" t="n">
        <v>0.6</v>
      </c>
      <c r="H310" s="4" t="n">
        <v>321</v>
      </c>
      <c r="I310" s="4" t="n">
        <v>0</v>
      </c>
      <c r="J310" s="4" t="n">
        <v>1</v>
      </c>
      <c r="K310" s="5" t="n">
        <v>0.79</v>
      </c>
      <c r="L310" s="4" t="n">
        <v>0</v>
      </c>
      <c r="M310" s="6" t="n">
        <f aca="false">$R$2 + SUMPRODUCT(B310:K310,$S$2:$AB$2)</f>
        <v>0.0513848600000006</v>
      </c>
      <c r="N310" s="6" t="n">
        <f aca="false">1/(1+EXP(-M310))</f>
        <v>0.512843389146522</v>
      </c>
      <c r="O310" s="6" t="n">
        <f aca="false">IF(L310=1,N310,1-N310)</f>
        <v>0.487156610853478</v>
      </c>
      <c r="P310" s="6" t="n">
        <f aca="false">LN(O310)</f>
        <v>-0.719169624734882</v>
      </c>
      <c r="AD310" s="8" t="n">
        <f aca="false">B310</f>
        <v>37</v>
      </c>
      <c r="AE310" s="8" t="n">
        <f aca="false">C310</f>
        <v>60200</v>
      </c>
      <c r="AF310" s="8" t="n">
        <f aca="false">D310</f>
        <v>6</v>
      </c>
      <c r="AG310" s="9" t="n">
        <f aca="false">E310*0.85</f>
        <v>60.7155</v>
      </c>
      <c r="AH310" s="9" t="n">
        <f aca="false">F310*0.9</f>
        <v>3.6</v>
      </c>
      <c r="AI310" s="9" t="n">
        <f aca="false">G310</f>
        <v>0.6</v>
      </c>
      <c r="AJ310" s="9" t="n">
        <f aca="false">H310*1.2</f>
        <v>385.2</v>
      </c>
      <c r="AK310" s="8" t="n">
        <f aca="false">I310</f>
        <v>0</v>
      </c>
      <c r="AL310" s="8" t="n">
        <f aca="false">J310</f>
        <v>1</v>
      </c>
      <c r="AM310" s="9" t="n">
        <f aca="false">K310</f>
        <v>0.79</v>
      </c>
      <c r="AN310" s="6" t="n">
        <f aca="false">$R$2 + SUMPRODUCT(AD310:AM310,$S$2:$AB$2)</f>
        <v>-0.5086318185</v>
      </c>
      <c r="AO310" s="6" t="n">
        <f aca="false">1/(1+EXP(-AN310))</f>
        <v>0.375514313941022</v>
      </c>
    </row>
    <row r="311" customFormat="false" ht="15" hidden="false" customHeight="false" outlineLevel="0" collapsed="false">
      <c r="A311" s="3" t="s">
        <v>375</v>
      </c>
      <c r="B311" s="4" t="n">
        <v>41</v>
      </c>
      <c r="C311" s="4" t="n">
        <v>92400</v>
      </c>
      <c r="D311" s="4" t="n">
        <v>3</v>
      </c>
      <c r="E311" s="5" t="n">
        <v>58.98</v>
      </c>
      <c r="F311" s="4" t="n">
        <v>3</v>
      </c>
      <c r="G311" s="5" t="n">
        <v>0.38</v>
      </c>
      <c r="H311" s="4" t="n">
        <v>67</v>
      </c>
      <c r="I311" s="4" t="n">
        <v>0</v>
      </c>
      <c r="J311" s="4" t="n">
        <v>1</v>
      </c>
      <c r="K311" s="5" t="n">
        <v>0.49</v>
      </c>
      <c r="L311" s="4" t="n">
        <v>0</v>
      </c>
      <c r="M311" s="6" t="n">
        <f aca="false">$R$2 + SUMPRODUCT(B311:K311,$S$2:$AB$2)</f>
        <v>0.65284849</v>
      </c>
      <c r="N311" s="6" t="n">
        <f aca="false">1/(1+EXP(-M311))</f>
        <v>0.657652075994364</v>
      </c>
      <c r="O311" s="6" t="n">
        <f aca="false">IF(L311=1,N311,1-N311)</f>
        <v>0.342347924005636</v>
      </c>
      <c r="P311" s="6" t="n">
        <f aca="false">LN(O311)</f>
        <v>-1.07192773738661</v>
      </c>
      <c r="AD311" s="8" t="n">
        <f aca="false">B311</f>
        <v>41</v>
      </c>
      <c r="AE311" s="8" t="n">
        <f aca="false">C311</f>
        <v>92400</v>
      </c>
      <c r="AF311" s="8" t="n">
        <f aca="false">D311</f>
        <v>3</v>
      </c>
      <c r="AG311" s="9" t="n">
        <f aca="false">E311*0.85</f>
        <v>50.133</v>
      </c>
      <c r="AH311" s="9" t="n">
        <f aca="false">F311*0.9</f>
        <v>2.7</v>
      </c>
      <c r="AI311" s="9" t="n">
        <f aca="false">G311</f>
        <v>0.38</v>
      </c>
      <c r="AJ311" s="9" t="n">
        <f aca="false">H311*1.2</f>
        <v>80.4</v>
      </c>
      <c r="AK311" s="8" t="n">
        <f aca="false">I311</f>
        <v>0</v>
      </c>
      <c r="AL311" s="8" t="n">
        <f aca="false">J311</f>
        <v>1</v>
      </c>
      <c r="AM311" s="9" t="n">
        <f aca="false">K311</f>
        <v>0.49</v>
      </c>
      <c r="AN311" s="6" t="n">
        <f aca="false">$R$2 + SUMPRODUCT(AD311:AM311,$S$2:$AB$2)</f>
        <v>0.422030639</v>
      </c>
      <c r="AO311" s="6" t="n">
        <f aca="false">1/(1+EXP(-AN311))</f>
        <v>0.603969061688283</v>
      </c>
    </row>
    <row r="312" customFormat="false" ht="15" hidden="false" customHeight="false" outlineLevel="0" collapsed="false">
      <c r="A312" s="3" t="s">
        <v>376</v>
      </c>
      <c r="B312" s="4" t="n">
        <v>50</v>
      </c>
      <c r="C312" s="4" t="n">
        <v>70700</v>
      </c>
      <c r="D312" s="4" t="n">
        <v>3</v>
      </c>
      <c r="E312" s="5" t="n">
        <v>65.2</v>
      </c>
      <c r="F312" s="4" t="n">
        <v>2</v>
      </c>
      <c r="G312" s="5" t="n">
        <v>0.08</v>
      </c>
      <c r="H312" s="4" t="n">
        <v>174</v>
      </c>
      <c r="I312" s="4" t="n">
        <v>1</v>
      </c>
      <c r="J312" s="4" t="n">
        <v>0</v>
      </c>
      <c r="K312" s="5" t="n">
        <v>0.29</v>
      </c>
      <c r="L312" s="4" t="n">
        <v>0</v>
      </c>
      <c r="M312" s="6" t="n">
        <f aca="false">$R$2 + SUMPRODUCT(B312:K312,$S$2:$AB$2)</f>
        <v>-1.22638715</v>
      </c>
      <c r="N312" s="6" t="n">
        <f aca="false">1/(1+EXP(-M312))</f>
        <v>0.226814384454978</v>
      </c>
      <c r="O312" s="6" t="n">
        <f aca="false">IF(L312=1,N312,1-N312)</f>
        <v>0.773185615545022</v>
      </c>
      <c r="P312" s="6" t="n">
        <f aca="false">LN(O312)</f>
        <v>-0.257236135616898</v>
      </c>
      <c r="AD312" s="8" t="n">
        <f aca="false">B312</f>
        <v>50</v>
      </c>
      <c r="AE312" s="8" t="n">
        <f aca="false">C312</f>
        <v>70700</v>
      </c>
      <c r="AF312" s="8" t="n">
        <f aca="false">D312</f>
        <v>3</v>
      </c>
      <c r="AG312" s="9" t="n">
        <f aca="false">E312*0.85</f>
        <v>55.42</v>
      </c>
      <c r="AH312" s="9" t="n">
        <f aca="false">F312*0.9</f>
        <v>1.8</v>
      </c>
      <c r="AI312" s="9" t="n">
        <f aca="false">G312</f>
        <v>0.08</v>
      </c>
      <c r="AJ312" s="9" t="n">
        <f aca="false">H312*1.2</f>
        <v>208.8</v>
      </c>
      <c r="AK312" s="8" t="n">
        <f aca="false">I312</f>
        <v>1</v>
      </c>
      <c r="AL312" s="8" t="n">
        <f aca="false">J312</f>
        <v>0</v>
      </c>
      <c r="AM312" s="9" t="n">
        <f aca="false">K312</f>
        <v>0.29</v>
      </c>
      <c r="AN312" s="6" t="n">
        <f aca="false">$R$2 + SUMPRODUCT(AD312:AM312,$S$2:$AB$2)</f>
        <v>-1.58135289</v>
      </c>
      <c r="AO312" s="6" t="n">
        <f aca="false">1/(1+EXP(-AN312))</f>
        <v>0.170603965134212</v>
      </c>
    </row>
    <row r="313" customFormat="false" ht="15" hidden="false" customHeight="false" outlineLevel="0" collapsed="false">
      <c r="A313" s="3" t="s">
        <v>377</v>
      </c>
      <c r="B313" s="4" t="n">
        <v>41</v>
      </c>
      <c r="C313" s="4" t="n">
        <v>49100</v>
      </c>
      <c r="D313" s="4" t="n">
        <v>11</v>
      </c>
      <c r="E313" s="5" t="n">
        <v>56.86</v>
      </c>
      <c r="F313" s="4" t="n">
        <v>8</v>
      </c>
      <c r="G313" s="5" t="n">
        <v>0.05</v>
      </c>
      <c r="H313" s="4" t="n">
        <v>346</v>
      </c>
      <c r="I313" s="4" t="n">
        <v>0</v>
      </c>
      <c r="J313" s="4" t="n">
        <v>0</v>
      </c>
      <c r="K313" s="5" t="n">
        <v>0.44</v>
      </c>
      <c r="L313" s="4" t="n">
        <v>0</v>
      </c>
      <c r="M313" s="6" t="n">
        <f aca="false">$R$2 + SUMPRODUCT(B313:K313,$S$2:$AB$2)</f>
        <v>-1.11709555</v>
      </c>
      <c r="N313" s="6" t="n">
        <f aca="false">1/(1+EXP(-M313))</f>
        <v>0.246550426548364</v>
      </c>
      <c r="O313" s="6" t="n">
        <f aca="false">IF(L313=1,N313,1-N313)</f>
        <v>0.753449573451636</v>
      </c>
      <c r="P313" s="6" t="n">
        <f aca="false">LN(O313)</f>
        <v>-0.283093186245101</v>
      </c>
      <c r="AD313" s="8" t="n">
        <f aca="false">B313</f>
        <v>41</v>
      </c>
      <c r="AE313" s="8" t="n">
        <f aca="false">C313</f>
        <v>49100</v>
      </c>
      <c r="AF313" s="8" t="n">
        <f aca="false">D313</f>
        <v>11</v>
      </c>
      <c r="AG313" s="9" t="n">
        <f aca="false">E313*0.85</f>
        <v>48.331</v>
      </c>
      <c r="AH313" s="9" t="n">
        <f aca="false">F313*0.9</f>
        <v>7.2</v>
      </c>
      <c r="AI313" s="9" t="n">
        <f aca="false">G313</f>
        <v>0.05</v>
      </c>
      <c r="AJ313" s="9" t="n">
        <f aca="false">H313*1.2</f>
        <v>415.2</v>
      </c>
      <c r="AK313" s="8" t="n">
        <f aca="false">I313</f>
        <v>0</v>
      </c>
      <c r="AL313" s="8" t="n">
        <f aca="false">J313</f>
        <v>0</v>
      </c>
      <c r="AM313" s="9" t="n">
        <f aca="false">K313</f>
        <v>0.44</v>
      </c>
      <c r="AN313" s="6" t="n">
        <f aca="false">$R$2 + SUMPRODUCT(AD313:AM313,$S$2:$AB$2)</f>
        <v>-1.722969607</v>
      </c>
      <c r="AO313" s="6" t="n">
        <f aca="false">1/(1+EXP(-AN313))</f>
        <v>0.151489054834153</v>
      </c>
    </row>
    <row r="314" customFormat="false" ht="15" hidden="false" customHeight="false" outlineLevel="0" collapsed="false">
      <c r="A314" s="3" t="s">
        <v>378</v>
      </c>
      <c r="B314" s="4" t="n">
        <v>69</v>
      </c>
      <c r="C314" s="4" t="n">
        <v>76600</v>
      </c>
      <c r="D314" s="4" t="n">
        <v>7</v>
      </c>
      <c r="E314" s="5" t="n">
        <v>60.89</v>
      </c>
      <c r="F314" s="4" t="n">
        <v>3</v>
      </c>
      <c r="G314" s="5" t="n">
        <v>0.31</v>
      </c>
      <c r="H314" s="4" t="n">
        <v>351</v>
      </c>
      <c r="I314" s="4" t="n">
        <v>1</v>
      </c>
      <c r="J314" s="4" t="n">
        <v>1</v>
      </c>
      <c r="K314" s="5" t="n">
        <v>0.4</v>
      </c>
      <c r="L314" s="4" t="n">
        <v>1</v>
      </c>
      <c r="M314" s="6" t="n">
        <f aca="false">$R$2 + SUMPRODUCT(B314:K314,$S$2:$AB$2)</f>
        <v>-0.38003742</v>
      </c>
      <c r="N314" s="6" t="n">
        <f aca="false">1/(1+EXP(-M314))</f>
        <v>0.406117871848568</v>
      </c>
      <c r="O314" s="6" t="n">
        <f aca="false">IF(L314=1,N314,1-N314)</f>
        <v>0.406117871848568</v>
      </c>
      <c r="P314" s="6" t="n">
        <f aca="false">LN(O314)</f>
        <v>-0.901111836766311</v>
      </c>
      <c r="AD314" s="8" t="n">
        <f aca="false">B314</f>
        <v>69</v>
      </c>
      <c r="AE314" s="8" t="n">
        <f aca="false">C314</f>
        <v>76600</v>
      </c>
      <c r="AF314" s="8" t="n">
        <f aca="false">D314</f>
        <v>7</v>
      </c>
      <c r="AG314" s="9" t="n">
        <f aca="false">E314*0.85</f>
        <v>51.7565</v>
      </c>
      <c r="AH314" s="9" t="n">
        <f aca="false">F314*0.9</f>
        <v>2.7</v>
      </c>
      <c r="AI314" s="9" t="n">
        <f aca="false">G314</f>
        <v>0.31</v>
      </c>
      <c r="AJ314" s="9" t="n">
        <f aca="false">H314*1.2</f>
        <v>421.2</v>
      </c>
      <c r="AK314" s="8" t="n">
        <f aca="false">I314</f>
        <v>1</v>
      </c>
      <c r="AL314" s="8" t="n">
        <f aca="false">J314</f>
        <v>1</v>
      </c>
      <c r="AM314" s="9" t="n">
        <f aca="false">K314</f>
        <v>0.4</v>
      </c>
      <c r="AN314" s="6" t="n">
        <f aca="false">$R$2 + SUMPRODUCT(AD314:AM314,$S$2:$AB$2)</f>
        <v>-0.9417582255</v>
      </c>
      <c r="AO314" s="6" t="n">
        <f aca="false">1/(1+EXP(-AN314))</f>
        <v>0.280545326078996</v>
      </c>
    </row>
    <row r="315" customFormat="false" ht="15" hidden="false" customHeight="false" outlineLevel="0" collapsed="false">
      <c r="A315" s="3" t="s">
        <v>379</v>
      </c>
      <c r="B315" s="4" t="n">
        <v>28</v>
      </c>
      <c r="C315" s="4" t="n">
        <v>47700</v>
      </c>
      <c r="D315" s="4" t="n">
        <v>8</v>
      </c>
      <c r="E315" s="5" t="n">
        <v>70.3</v>
      </c>
      <c r="F315" s="4" t="n">
        <v>4</v>
      </c>
      <c r="G315" s="5" t="n">
        <v>0.01</v>
      </c>
      <c r="H315" s="4" t="n">
        <v>328</v>
      </c>
      <c r="I315" s="4" t="n">
        <v>1</v>
      </c>
      <c r="J315" s="4" t="n">
        <v>0</v>
      </c>
      <c r="K315" s="5" t="n">
        <v>0.35</v>
      </c>
      <c r="L315" s="4" t="n">
        <v>0</v>
      </c>
      <c r="M315" s="6" t="n">
        <f aca="false">$R$2 + SUMPRODUCT(B315:K315,$S$2:$AB$2)</f>
        <v>-1.18998284</v>
      </c>
      <c r="N315" s="6" t="n">
        <f aca="false">1/(1+EXP(-M315))</f>
        <v>0.233262004837857</v>
      </c>
      <c r="O315" s="6" t="n">
        <f aca="false">IF(L315=1,N315,1-N315)</f>
        <v>0.766737995162143</v>
      </c>
      <c r="P315" s="6" t="n">
        <f aca="false">LN(O315)</f>
        <v>-0.265610132892682</v>
      </c>
      <c r="AD315" s="8" t="n">
        <f aca="false">B315</f>
        <v>28</v>
      </c>
      <c r="AE315" s="8" t="n">
        <f aca="false">C315</f>
        <v>47700</v>
      </c>
      <c r="AF315" s="8" t="n">
        <f aca="false">D315</f>
        <v>8</v>
      </c>
      <c r="AG315" s="9" t="n">
        <f aca="false">E315*0.85</f>
        <v>59.755</v>
      </c>
      <c r="AH315" s="9" t="n">
        <f aca="false">F315*0.9</f>
        <v>3.6</v>
      </c>
      <c r="AI315" s="9" t="n">
        <f aca="false">G315</f>
        <v>0.01</v>
      </c>
      <c r="AJ315" s="9" t="n">
        <f aca="false">H315*1.2</f>
        <v>393.6</v>
      </c>
      <c r="AK315" s="8" t="n">
        <f aca="false">I315</f>
        <v>1</v>
      </c>
      <c r="AL315" s="8" t="n">
        <f aca="false">J315</f>
        <v>0</v>
      </c>
      <c r="AM315" s="9" t="n">
        <f aca="false">K315</f>
        <v>0.35</v>
      </c>
      <c r="AN315" s="6" t="n">
        <f aca="false">$R$2 + SUMPRODUCT(AD315:AM315,$S$2:$AB$2)</f>
        <v>-1.755783825</v>
      </c>
      <c r="AO315" s="6" t="n">
        <f aca="false">1/(1+EXP(-AN315))</f>
        <v>0.14731917268807</v>
      </c>
    </row>
    <row r="316" customFormat="false" ht="15" hidden="false" customHeight="false" outlineLevel="0" collapsed="false">
      <c r="A316" s="3" t="s">
        <v>380</v>
      </c>
      <c r="B316" s="4" t="n">
        <v>66</v>
      </c>
      <c r="C316" s="4" t="n">
        <v>18300</v>
      </c>
      <c r="D316" s="4" t="n">
        <v>7</v>
      </c>
      <c r="E316" s="5" t="n">
        <v>40.17</v>
      </c>
      <c r="F316" s="4" t="n">
        <v>4</v>
      </c>
      <c r="G316" s="5" t="n">
        <v>0.33</v>
      </c>
      <c r="H316" s="4" t="n">
        <v>43</v>
      </c>
      <c r="I316" s="4" t="n">
        <v>0</v>
      </c>
      <c r="J316" s="4" t="n">
        <v>1</v>
      </c>
      <c r="K316" s="5" t="n">
        <v>0.18</v>
      </c>
      <c r="L316" s="4" t="n">
        <v>0</v>
      </c>
      <c r="M316" s="6" t="n">
        <f aca="false">$R$2 + SUMPRODUCT(B316:K316,$S$2:$AB$2)</f>
        <v>-1.01797002</v>
      </c>
      <c r="N316" s="6" t="n">
        <f aca="false">1/(1+EXP(-M316))</f>
        <v>0.26542300459225</v>
      </c>
      <c r="O316" s="6" t="n">
        <f aca="false">IF(L316=1,N316,1-N316)</f>
        <v>0.73457699540775</v>
      </c>
      <c r="P316" s="6" t="n">
        <f aca="false">LN(O316)</f>
        <v>-0.308460461894503</v>
      </c>
      <c r="AD316" s="8" t="n">
        <f aca="false">B316</f>
        <v>66</v>
      </c>
      <c r="AE316" s="8" t="n">
        <f aca="false">C316</f>
        <v>18300</v>
      </c>
      <c r="AF316" s="8" t="n">
        <f aca="false">D316</f>
        <v>7</v>
      </c>
      <c r="AG316" s="9" t="n">
        <f aca="false">E316*0.85</f>
        <v>34.1445</v>
      </c>
      <c r="AH316" s="9" t="n">
        <f aca="false">F316*0.9</f>
        <v>3.6</v>
      </c>
      <c r="AI316" s="9" t="n">
        <f aca="false">G316</f>
        <v>0.33</v>
      </c>
      <c r="AJ316" s="9" t="n">
        <f aca="false">H316*1.2</f>
        <v>51.6</v>
      </c>
      <c r="AK316" s="8" t="n">
        <f aca="false">I316</f>
        <v>0</v>
      </c>
      <c r="AL316" s="8" t="n">
        <f aca="false">J316</f>
        <v>1</v>
      </c>
      <c r="AM316" s="9" t="n">
        <f aca="false">K316</f>
        <v>0.18</v>
      </c>
      <c r="AN316" s="6" t="n">
        <f aca="false">$R$2 + SUMPRODUCT(AD316:AM316,$S$2:$AB$2)</f>
        <v>-1.1948545615</v>
      </c>
      <c r="AO316" s="6" t="n">
        <f aca="false">1/(1+EXP(-AN316))</f>
        <v>0.232391825841252</v>
      </c>
    </row>
    <row r="317" customFormat="false" ht="15" hidden="false" customHeight="false" outlineLevel="0" collapsed="false">
      <c r="A317" s="3" t="s">
        <v>381</v>
      </c>
      <c r="B317" s="4" t="n">
        <v>25</v>
      </c>
      <c r="C317" s="4" t="n">
        <v>36900</v>
      </c>
      <c r="D317" s="4" t="n">
        <v>3</v>
      </c>
      <c r="E317" s="5" t="n">
        <v>39.6</v>
      </c>
      <c r="F317" s="4" t="n">
        <v>7</v>
      </c>
      <c r="G317" s="5" t="n">
        <v>0.08</v>
      </c>
      <c r="H317" s="4" t="n">
        <v>187</v>
      </c>
      <c r="I317" s="4" t="n">
        <v>0</v>
      </c>
      <c r="J317" s="4" t="n">
        <v>0</v>
      </c>
      <c r="K317" s="5" t="n">
        <v>0.07</v>
      </c>
      <c r="L317" s="4" t="n">
        <v>0</v>
      </c>
      <c r="M317" s="6" t="n">
        <f aca="false">$R$2 + SUMPRODUCT(B317:K317,$S$2:$AB$2)</f>
        <v>-2.52978621</v>
      </c>
      <c r="N317" s="6" t="n">
        <f aca="false">1/(1+EXP(-M317))</f>
        <v>0.0737962578967051</v>
      </c>
      <c r="O317" s="6" t="n">
        <f aca="false">IF(L317=1,N317,1-N317)</f>
        <v>0.926203742103295</v>
      </c>
      <c r="P317" s="6" t="n">
        <f aca="false">LN(O317)</f>
        <v>-0.0766610446680104</v>
      </c>
      <c r="AD317" s="8" t="n">
        <f aca="false">B317</f>
        <v>25</v>
      </c>
      <c r="AE317" s="8" t="n">
        <f aca="false">C317</f>
        <v>36900</v>
      </c>
      <c r="AF317" s="8" t="n">
        <f aca="false">D317</f>
        <v>3</v>
      </c>
      <c r="AG317" s="9" t="n">
        <f aca="false">E317*0.85</f>
        <v>33.66</v>
      </c>
      <c r="AH317" s="9" t="n">
        <f aca="false">F317*0.9</f>
        <v>6.3</v>
      </c>
      <c r="AI317" s="9" t="n">
        <f aca="false">G317</f>
        <v>0.08</v>
      </c>
      <c r="AJ317" s="9" t="n">
        <f aca="false">H317*1.2</f>
        <v>224.4</v>
      </c>
      <c r="AK317" s="8" t="n">
        <f aca="false">I317</f>
        <v>0</v>
      </c>
      <c r="AL317" s="8" t="n">
        <f aca="false">J317</f>
        <v>0</v>
      </c>
      <c r="AM317" s="9" t="n">
        <f aca="false">K317</f>
        <v>0.07</v>
      </c>
      <c r="AN317" s="6" t="n">
        <f aca="false">$R$2 + SUMPRODUCT(AD317:AM317,$S$2:$AB$2)</f>
        <v>-2.90617153</v>
      </c>
      <c r="AO317" s="6" t="n">
        <f aca="false">1/(1+EXP(-AN317))</f>
        <v>0.0518493241755765</v>
      </c>
    </row>
    <row r="318" customFormat="false" ht="15" hidden="false" customHeight="false" outlineLevel="0" collapsed="false">
      <c r="A318" s="3" t="s">
        <v>382</v>
      </c>
      <c r="B318" s="4" t="n">
        <v>53</v>
      </c>
      <c r="C318" s="4" t="n">
        <v>21300</v>
      </c>
      <c r="D318" s="4" t="n">
        <v>4</v>
      </c>
      <c r="E318" s="5" t="n">
        <v>30.29</v>
      </c>
      <c r="F318" s="4" t="n">
        <v>4</v>
      </c>
      <c r="G318" s="5" t="n">
        <v>0.05</v>
      </c>
      <c r="H318" s="4" t="n">
        <v>302</v>
      </c>
      <c r="I318" s="4" t="n">
        <v>0</v>
      </c>
      <c r="J318" s="4" t="n">
        <v>1</v>
      </c>
      <c r="K318" s="5" t="n">
        <v>0.2</v>
      </c>
      <c r="L318" s="4" t="n">
        <v>0</v>
      </c>
      <c r="M318" s="6" t="n">
        <f aca="false">$R$2 + SUMPRODUCT(B318:K318,$S$2:$AB$2)</f>
        <v>-3.42975328</v>
      </c>
      <c r="N318" s="6" t="n">
        <f aca="false">1/(1+EXP(-M318))</f>
        <v>0.0313784301455848</v>
      </c>
      <c r="O318" s="6" t="n">
        <f aca="false">IF(L318=1,N318,1-N318)</f>
        <v>0.968621569854415</v>
      </c>
      <c r="P318" s="6" t="n">
        <f aca="false">LN(O318)</f>
        <v>-0.0318812801566713</v>
      </c>
      <c r="AD318" s="8" t="n">
        <f aca="false">B318</f>
        <v>53</v>
      </c>
      <c r="AE318" s="8" t="n">
        <f aca="false">C318</f>
        <v>21300</v>
      </c>
      <c r="AF318" s="8" t="n">
        <f aca="false">D318</f>
        <v>4</v>
      </c>
      <c r="AG318" s="9" t="n">
        <f aca="false">E318*0.85</f>
        <v>25.7465</v>
      </c>
      <c r="AH318" s="9" t="n">
        <f aca="false">F318*0.9</f>
        <v>3.6</v>
      </c>
      <c r="AI318" s="9" t="n">
        <f aca="false">G318</f>
        <v>0.05</v>
      </c>
      <c r="AJ318" s="9" t="n">
        <f aca="false">H318*1.2</f>
        <v>362.4</v>
      </c>
      <c r="AK318" s="8" t="n">
        <f aca="false">I318</f>
        <v>0</v>
      </c>
      <c r="AL318" s="8" t="n">
        <f aca="false">J318</f>
        <v>1</v>
      </c>
      <c r="AM318" s="9" t="n">
        <f aca="false">K318</f>
        <v>0.2</v>
      </c>
      <c r="AN318" s="6" t="n">
        <f aca="false">$R$2 + SUMPRODUCT(AD318:AM318,$S$2:$AB$2)</f>
        <v>-3.8849945155</v>
      </c>
      <c r="AO318" s="6" t="n">
        <f aca="false">1/(1+EXP(-AN318))</f>
        <v>0.0201342245881999</v>
      </c>
    </row>
    <row r="319" customFormat="false" ht="15" hidden="false" customHeight="false" outlineLevel="0" collapsed="false">
      <c r="A319" s="3" t="s">
        <v>383</v>
      </c>
      <c r="B319" s="4" t="n">
        <v>55</v>
      </c>
      <c r="C319" s="4" t="n">
        <v>48700</v>
      </c>
      <c r="D319" s="4" t="n">
        <v>4</v>
      </c>
      <c r="E319" s="5" t="n">
        <v>24.99</v>
      </c>
      <c r="F319" s="4" t="n">
        <v>2</v>
      </c>
      <c r="G319" s="5" t="n">
        <v>0.7</v>
      </c>
      <c r="H319" s="4" t="n">
        <v>200</v>
      </c>
      <c r="I319" s="4" t="n">
        <v>1</v>
      </c>
      <c r="J319" s="4" t="n">
        <v>0</v>
      </c>
      <c r="K319" s="5" t="n">
        <v>0.48</v>
      </c>
      <c r="L319" s="4" t="n">
        <v>0</v>
      </c>
      <c r="M319" s="6" t="n">
        <f aca="false">$R$2 + SUMPRODUCT(B319:K319,$S$2:$AB$2)</f>
        <v>-1.05043979</v>
      </c>
      <c r="N319" s="6" t="n">
        <f aca="false">1/(1+EXP(-M319))</f>
        <v>0.259140658009567</v>
      </c>
      <c r="O319" s="6" t="n">
        <f aca="false">IF(L319=1,N319,1-N319)</f>
        <v>0.740859341990433</v>
      </c>
      <c r="P319" s="6" t="n">
        <f aca="false">LN(O319)</f>
        <v>-0.299944493579762</v>
      </c>
      <c r="AD319" s="8" t="n">
        <f aca="false">B319</f>
        <v>55</v>
      </c>
      <c r="AE319" s="8" t="n">
        <f aca="false">C319</f>
        <v>48700</v>
      </c>
      <c r="AF319" s="8" t="n">
        <f aca="false">D319</f>
        <v>4</v>
      </c>
      <c r="AG319" s="9" t="n">
        <f aca="false">E319*0.85</f>
        <v>21.2415</v>
      </c>
      <c r="AH319" s="9" t="n">
        <f aca="false">F319*0.9</f>
        <v>1.8</v>
      </c>
      <c r="AI319" s="9" t="n">
        <f aca="false">G319</f>
        <v>0.7</v>
      </c>
      <c r="AJ319" s="9" t="n">
        <f aca="false">H319*1.2</f>
        <v>240</v>
      </c>
      <c r="AK319" s="8" t="n">
        <f aca="false">I319</f>
        <v>1</v>
      </c>
      <c r="AL319" s="8" t="n">
        <f aca="false">J319</f>
        <v>0</v>
      </c>
      <c r="AM319" s="9" t="n">
        <f aca="false">K319</f>
        <v>0.48</v>
      </c>
      <c r="AN319" s="6" t="n">
        <f aca="false">$R$2 + SUMPRODUCT(AD319:AM319,$S$2:$AB$2)</f>
        <v>-1.3543259905</v>
      </c>
      <c r="AO319" s="6" t="n">
        <f aca="false">1/(1+EXP(-AN319))</f>
        <v>0.205164025154895</v>
      </c>
    </row>
    <row r="320" customFormat="false" ht="15" hidden="false" customHeight="false" outlineLevel="0" collapsed="false">
      <c r="A320" s="3" t="s">
        <v>384</v>
      </c>
      <c r="B320" s="4" t="n">
        <v>57</v>
      </c>
      <c r="C320" s="4" t="n">
        <v>55300</v>
      </c>
      <c r="D320" s="4" t="n">
        <v>6</v>
      </c>
      <c r="E320" s="5" t="n">
        <v>34.57</v>
      </c>
      <c r="F320" s="4" t="n">
        <v>2</v>
      </c>
      <c r="G320" s="5" t="n">
        <v>0.33</v>
      </c>
      <c r="H320" s="4" t="n">
        <v>39</v>
      </c>
      <c r="I320" s="4" t="n">
        <v>1</v>
      </c>
      <c r="J320" s="4" t="n">
        <v>1</v>
      </c>
      <c r="K320" s="5" t="n">
        <v>0.13</v>
      </c>
      <c r="L320" s="4" t="n">
        <v>0</v>
      </c>
      <c r="M320" s="6" t="n">
        <f aca="false">$R$2 + SUMPRODUCT(B320:K320,$S$2:$AB$2)</f>
        <v>0.131630530000001</v>
      </c>
      <c r="N320" s="6" t="n">
        <f aca="false">1/(1+EXP(-M320))</f>
        <v>0.532860199910528</v>
      </c>
      <c r="O320" s="6" t="n">
        <f aca="false">IF(L320=1,N320,1-N320)</f>
        <v>0.467139800089472</v>
      </c>
      <c r="P320" s="6" t="n">
        <f aca="false">LN(O320)</f>
        <v>-0.761126708318542</v>
      </c>
      <c r="AD320" s="8" t="n">
        <f aca="false">B320</f>
        <v>57</v>
      </c>
      <c r="AE320" s="8" t="n">
        <f aca="false">C320</f>
        <v>55300</v>
      </c>
      <c r="AF320" s="8" t="n">
        <f aca="false">D320</f>
        <v>6</v>
      </c>
      <c r="AG320" s="9" t="n">
        <f aca="false">E320*0.85</f>
        <v>29.3845</v>
      </c>
      <c r="AH320" s="9" t="n">
        <f aca="false">F320*0.9</f>
        <v>1.8</v>
      </c>
      <c r="AI320" s="9" t="n">
        <f aca="false">G320</f>
        <v>0.33</v>
      </c>
      <c r="AJ320" s="9" t="n">
        <f aca="false">H320*1.2</f>
        <v>46.8</v>
      </c>
      <c r="AK320" s="8" t="n">
        <f aca="false">I320</f>
        <v>1</v>
      </c>
      <c r="AL320" s="8" t="n">
        <f aca="false">J320</f>
        <v>1</v>
      </c>
      <c r="AM320" s="9" t="n">
        <f aca="false">K320</f>
        <v>0.13</v>
      </c>
      <c r="AN320" s="6" t="n">
        <f aca="false">$R$2 + SUMPRODUCT(AD320:AM320,$S$2:$AB$2)</f>
        <v>-0.00615129149999927</v>
      </c>
      <c r="AO320" s="6" t="n">
        <f aca="false">1/(1+EXP(-AN320))</f>
        <v>0.498462181974043</v>
      </c>
    </row>
    <row r="321" customFormat="false" ht="15" hidden="false" customHeight="false" outlineLevel="0" collapsed="false">
      <c r="A321" s="3" t="s">
        <v>385</v>
      </c>
      <c r="B321" s="4" t="n">
        <v>37</v>
      </c>
      <c r="C321" s="4" t="n">
        <v>85200</v>
      </c>
      <c r="D321" s="4" t="n">
        <v>5</v>
      </c>
      <c r="E321" s="5" t="n">
        <v>68.99</v>
      </c>
      <c r="F321" s="4" t="n">
        <v>3</v>
      </c>
      <c r="G321" s="5" t="n">
        <v>0.09</v>
      </c>
      <c r="H321" s="4" t="n">
        <v>220</v>
      </c>
      <c r="I321" s="4" t="n">
        <v>1</v>
      </c>
      <c r="J321" s="4" t="n">
        <v>0</v>
      </c>
      <c r="K321" s="5" t="n">
        <v>0.47</v>
      </c>
      <c r="L321" s="4" t="n">
        <v>0</v>
      </c>
      <c r="M321" s="6" t="n">
        <f aca="false">$R$2 + SUMPRODUCT(B321:K321,$S$2:$AB$2)</f>
        <v>-0.24121143</v>
      </c>
      <c r="N321" s="6" t="n">
        <f aca="false">1/(1+EXP(-M321))</f>
        <v>0.439987834483723</v>
      </c>
      <c r="O321" s="6" t="n">
        <f aca="false">IF(L321=1,N321,1-N321)</f>
        <v>0.560012165516277</v>
      </c>
      <c r="P321" s="6" t="n">
        <f aca="false">LN(O321)</f>
        <v>-0.579796771352698</v>
      </c>
      <c r="AD321" s="8" t="n">
        <f aca="false">B321</f>
        <v>37</v>
      </c>
      <c r="AE321" s="8" t="n">
        <f aca="false">C321</f>
        <v>85200</v>
      </c>
      <c r="AF321" s="8" t="n">
        <f aca="false">D321</f>
        <v>5</v>
      </c>
      <c r="AG321" s="9" t="n">
        <f aca="false">E321*0.85</f>
        <v>58.6415</v>
      </c>
      <c r="AH321" s="9" t="n">
        <f aca="false">F321*0.9</f>
        <v>2.7</v>
      </c>
      <c r="AI321" s="9" t="n">
        <f aca="false">G321</f>
        <v>0.09</v>
      </c>
      <c r="AJ321" s="9" t="n">
        <f aca="false">H321*1.2</f>
        <v>264</v>
      </c>
      <c r="AK321" s="8" t="n">
        <f aca="false">I321</f>
        <v>1</v>
      </c>
      <c r="AL321" s="8" t="n">
        <f aca="false">J321</f>
        <v>0</v>
      </c>
      <c r="AM321" s="9" t="n">
        <f aca="false">K321</f>
        <v>0.47</v>
      </c>
      <c r="AN321" s="6" t="n">
        <f aca="false">$R$2 + SUMPRODUCT(AD321:AM321,$S$2:$AB$2)</f>
        <v>-0.6683937305</v>
      </c>
      <c r="AO321" s="6" t="n">
        <f aca="false">1/(1+EXP(-AN321))</f>
        <v>0.338856604662017</v>
      </c>
    </row>
    <row r="322" customFormat="false" ht="15" hidden="false" customHeight="false" outlineLevel="0" collapsed="false">
      <c r="A322" s="3" t="s">
        <v>386</v>
      </c>
      <c r="B322" s="4" t="n">
        <v>52</v>
      </c>
      <c r="C322" s="4" t="n">
        <v>60900</v>
      </c>
      <c r="D322" s="4" t="n">
        <v>11</v>
      </c>
      <c r="E322" s="5" t="n">
        <v>42.68</v>
      </c>
      <c r="F322" s="4" t="n">
        <v>4</v>
      </c>
      <c r="G322" s="5" t="n">
        <v>0.09</v>
      </c>
      <c r="H322" s="4" t="n">
        <v>307</v>
      </c>
      <c r="I322" s="4" t="n">
        <v>0</v>
      </c>
      <c r="J322" s="4" t="n">
        <v>0</v>
      </c>
      <c r="K322" s="5" t="n">
        <v>0.42</v>
      </c>
      <c r="L322" s="4" t="n">
        <v>1</v>
      </c>
      <c r="M322" s="6" t="n">
        <f aca="false">$R$2 + SUMPRODUCT(B322:K322,$S$2:$AB$2)</f>
        <v>-1.35944031</v>
      </c>
      <c r="N322" s="6" t="n">
        <f aca="false">1/(1+EXP(-M322))</f>
        <v>0.204331281631423</v>
      </c>
      <c r="O322" s="6" t="n">
        <f aca="false">IF(L322=1,N322,1-N322)</f>
        <v>0.204331281631423</v>
      </c>
      <c r="P322" s="6" t="n">
        <f aca="false">LN(O322)</f>
        <v>-1.58801267271996</v>
      </c>
      <c r="AD322" s="8" t="n">
        <f aca="false">B322</f>
        <v>52</v>
      </c>
      <c r="AE322" s="8" t="n">
        <f aca="false">C322</f>
        <v>60900</v>
      </c>
      <c r="AF322" s="8" t="n">
        <f aca="false">D322</f>
        <v>11</v>
      </c>
      <c r="AG322" s="9" t="n">
        <f aca="false">E322*0.85</f>
        <v>36.278</v>
      </c>
      <c r="AH322" s="9" t="n">
        <f aca="false">F322*0.9</f>
        <v>3.6</v>
      </c>
      <c r="AI322" s="9" t="n">
        <f aca="false">G322</f>
        <v>0.09</v>
      </c>
      <c r="AJ322" s="9" t="n">
        <f aca="false">H322*1.2</f>
        <v>368.4</v>
      </c>
      <c r="AK322" s="8" t="n">
        <f aca="false">I322</f>
        <v>0</v>
      </c>
      <c r="AL322" s="8" t="n">
        <f aca="false">J322</f>
        <v>0</v>
      </c>
      <c r="AM322" s="9" t="n">
        <f aca="false">K322</f>
        <v>0.42</v>
      </c>
      <c r="AN322" s="6" t="n">
        <f aca="false">$R$2 + SUMPRODUCT(AD322:AM322,$S$2:$AB$2)</f>
        <v>-1.845404776</v>
      </c>
      <c r="AO322" s="6" t="n">
        <f aca="false">1/(1+EXP(-AN322))</f>
        <v>0.136413332265112</v>
      </c>
    </row>
    <row r="323" customFormat="false" ht="15" hidden="false" customHeight="false" outlineLevel="0" collapsed="false">
      <c r="A323" s="3" t="s">
        <v>387</v>
      </c>
      <c r="B323" s="4" t="n">
        <v>65</v>
      </c>
      <c r="C323" s="4" t="n">
        <v>51100</v>
      </c>
      <c r="D323" s="4" t="n">
        <v>10</v>
      </c>
      <c r="E323" s="5" t="n">
        <v>77.84</v>
      </c>
      <c r="F323" s="4" t="n">
        <v>5</v>
      </c>
      <c r="G323" s="5" t="n">
        <v>0.63</v>
      </c>
      <c r="H323" s="4" t="n">
        <v>4</v>
      </c>
      <c r="I323" s="4" t="n">
        <v>0</v>
      </c>
      <c r="J323" s="4" t="n">
        <v>0</v>
      </c>
      <c r="K323" s="5" t="n">
        <v>0.06</v>
      </c>
      <c r="L323" s="4" t="n">
        <v>1</v>
      </c>
      <c r="M323" s="6" t="n">
        <f aca="false">$R$2 + SUMPRODUCT(B323:K323,$S$2:$AB$2)</f>
        <v>0.890815430000001</v>
      </c>
      <c r="N323" s="6" t="n">
        <f aca="false">1/(1+EXP(-M323))</f>
        <v>0.7090584200253</v>
      </c>
      <c r="O323" s="6" t="n">
        <f aca="false">IF(L323=1,N323,1-N323)</f>
        <v>0.7090584200253</v>
      </c>
      <c r="P323" s="6" t="n">
        <f aca="false">LN(O323)</f>
        <v>-0.343817358065535</v>
      </c>
      <c r="AD323" s="8" t="n">
        <f aca="false">B323</f>
        <v>65</v>
      </c>
      <c r="AE323" s="8" t="n">
        <f aca="false">C323</f>
        <v>51100</v>
      </c>
      <c r="AF323" s="8" t="n">
        <f aca="false">D323</f>
        <v>10</v>
      </c>
      <c r="AG323" s="9" t="n">
        <f aca="false">E323*0.85</f>
        <v>66.164</v>
      </c>
      <c r="AH323" s="9" t="n">
        <f aca="false">F323*0.9</f>
        <v>4.5</v>
      </c>
      <c r="AI323" s="9" t="n">
        <f aca="false">G323</f>
        <v>0.63</v>
      </c>
      <c r="AJ323" s="9" t="n">
        <f aca="false">H323*1.2</f>
        <v>4.8</v>
      </c>
      <c r="AK323" s="8" t="n">
        <f aca="false">I323</f>
        <v>0</v>
      </c>
      <c r="AL323" s="8" t="n">
        <f aca="false">J323</f>
        <v>0</v>
      </c>
      <c r="AM323" s="9" t="n">
        <f aca="false">K323</f>
        <v>0.06</v>
      </c>
      <c r="AN323" s="6" t="n">
        <f aca="false">$R$2 + SUMPRODUCT(AD323:AM323,$S$2:$AB$2)</f>
        <v>0.671333822</v>
      </c>
      <c r="AO323" s="6" t="n">
        <f aca="false">1/(1+EXP(-AN323))</f>
        <v>0.661801759895242</v>
      </c>
    </row>
    <row r="324" customFormat="false" ht="15" hidden="false" customHeight="false" outlineLevel="0" collapsed="false">
      <c r="A324" s="3" t="s">
        <v>388</v>
      </c>
      <c r="B324" s="4" t="n">
        <v>42</v>
      </c>
      <c r="C324" s="4" t="n">
        <v>69900</v>
      </c>
      <c r="D324" s="4" t="n">
        <v>5</v>
      </c>
      <c r="E324" s="5" t="n">
        <v>65.87</v>
      </c>
      <c r="F324" s="4" t="n">
        <v>6</v>
      </c>
      <c r="G324" s="5" t="n">
        <v>0.28</v>
      </c>
      <c r="H324" s="4" t="n">
        <v>121</v>
      </c>
      <c r="I324" s="4" t="n">
        <v>1</v>
      </c>
      <c r="J324" s="4" t="n">
        <v>0</v>
      </c>
      <c r="K324" s="5" t="n">
        <v>0.02</v>
      </c>
      <c r="L324" s="4" t="n">
        <v>1</v>
      </c>
      <c r="M324" s="6" t="n">
        <f aca="false">$R$2 + SUMPRODUCT(B324:K324,$S$2:$AB$2)</f>
        <v>0.0264982500000004</v>
      </c>
      <c r="N324" s="6" t="n">
        <f aca="false">1/(1+EXP(-M324))</f>
        <v>0.506624174903498</v>
      </c>
      <c r="O324" s="6" t="n">
        <f aca="false">IF(L324=1,N324,1-N324)</f>
        <v>0.506624174903498</v>
      </c>
      <c r="P324" s="6" t="n">
        <f aca="false">LN(O324)</f>
        <v>-0.679985822648861</v>
      </c>
      <c r="AD324" s="8" t="n">
        <f aca="false">B324</f>
        <v>42</v>
      </c>
      <c r="AE324" s="8" t="n">
        <f aca="false">C324</f>
        <v>69900</v>
      </c>
      <c r="AF324" s="8" t="n">
        <f aca="false">D324</f>
        <v>5</v>
      </c>
      <c r="AG324" s="9" t="n">
        <f aca="false">E324*0.85</f>
        <v>55.9895</v>
      </c>
      <c r="AH324" s="9" t="n">
        <f aca="false">F324*0.9</f>
        <v>5.4</v>
      </c>
      <c r="AI324" s="9" t="n">
        <f aca="false">G324</f>
        <v>0.28</v>
      </c>
      <c r="AJ324" s="9" t="n">
        <f aca="false">H324*1.2</f>
        <v>145.2</v>
      </c>
      <c r="AK324" s="8" t="n">
        <f aca="false">I324</f>
        <v>1</v>
      </c>
      <c r="AL324" s="8" t="n">
        <f aca="false">J324</f>
        <v>0</v>
      </c>
      <c r="AM324" s="9" t="n">
        <f aca="false">K324</f>
        <v>0.02</v>
      </c>
      <c r="AN324" s="6" t="n">
        <f aca="false">$R$2 + SUMPRODUCT(AD324:AM324,$S$2:$AB$2)</f>
        <v>-0.3152079065</v>
      </c>
      <c r="AO324" s="6" t="n">
        <f aca="false">1/(1+EXP(-AN324))</f>
        <v>0.421844059632801</v>
      </c>
    </row>
    <row r="325" customFormat="false" ht="15" hidden="false" customHeight="false" outlineLevel="0" collapsed="false">
      <c r="A325" s="3" t="s">
        <v>389</v>
      </c>
      <c r="B325" s="4" t="n">
        <v>52</v>
      </c>
      <c r="C325" s="4" t="n">
        <v>15200</v>
      </c>
      <c r="D325" s="4" t="n">
        <v>1</v>
      </c>
      <c r="E325" s="5" t="n">
        <v>15.79</v>
      </c>
      <c r="F325" s="4" t="n">
        <v>6</v>
      </c>
      <c r="G325" s="5" t="n">
        <v>0.08</v>
      </c>
      <c r="H325" s="4" t="n">
        <v>336</v>
      </c>
      <c r="I325" s="4" t="n">
        <v>0</v>
      </c>
      <c r="J325" s="4" t="n">
        <v>1</v>
      </c>
      <c r="K325" s="5" t="n">
        <v>0.22</v>
      </c>
      <c r="L325" s="4" t="n">
        <v>0</v>
      </c>
      <c r="M325" s="6" t="n">
        <f aca="false">$R$2 + SUMPRODUCT(B325:K325,$S$2:$AB$2)</f>
        <v>-4.21163699</v>
      </c>
      <c r="N325" s="6" t="n">
        <f aca="false">1/(1+EXP(-M325))</f>
        <v>0.014605599428701</v>
      </c>
      <c r="O325" s="6" t="n">
        <f aca="false">IF(L325=1,N325,1-N325)</f>
        <v>0.985394400571299</v>
      </c>
      <c r="P325" s="6" t="n">
        <f aca="false">LN(O325)</f>
        <v>-0.0147133112800378</v>
      </c>
      <c r="AD325" s="8" t="n">
        <f aca="false">B325</f>
        <v>52</v>
      </c>
      <c r="AE325" s="8" t="n">
        <f aca="false">C325</f>
        <v>15200</v>
      </c>
      <c r="AF325" s="8" t="n">
        <f aca="false">D325</f>
        <v>1</v>
      </c>
      <c r="AG325" s="9" t="n">
        <f aca="false">E325*0.85</f>
        <v>13.4215</v>
      </c>
      <c r="AH325" s="9" t="n">
        <f aca="false">F325*0.9</f>
        <v>5.4</v>
      </c>
      <c r="AI325" s="9" t="n">
        <f aca="false">G325</f>
        <v>0.08</v>
      </c>
      <c r="AJ325" s="9" t="n">
        <f aca="false">H325*1.2</f>
        <v>403.2</v>
      </c>
      <c r="AK325" s="8" t="n">
        <f aca="false">I325</f>
        <v>0</v>
      </c>
      <c r="AL325" s="8" t="n">
        <f aca="false">J325</f>
        <v>1</v>
      </c>
      <c r="AM325" s="9" t="n">
        <f aca="false">K325</f>
        <v>0.22</v>
      </c>
      <c r="AN325" s="6" t="n">
        <f aca="false">$R$2 + SUMPRODUCT(AD325:AM325,$S$2:$AB$2)</f>
        <v>-4.7000284505</v>
      </c>
      <c r="AO325" s="6" t="n">
        <f aca="false">1/(1+EXP(-AN325))</f>
        <v>0.00901304453485014</v>
      </c>
    </row>
    <row r="326" customFormat="false" ht="15" hidden="false" customHeight="false" outlineLevel="0" collapsed="false">
      <c r="A326" s="3" t="s">
        <v>390</v>
      </c>
      <c r="B326" s="4" t="n">
        <v>42</v>
      </c>
      <c r="C326" s="4" t="n">
        <v>59200</v>
      </c>
      <c r="D326" s="4" t="n">
        <v>5</v>
      </c>
      <c r="E326" s="5" t="n">
        <v>81.37</v>
      </c>
      <c r="F326" s="4" t="n">
        <v>6</v>
      </c>
      <c r="G326" s="5" t="n">
        <v>0.1</v>
      </c>
      <c r="H326" s="4" t="n">
        <v>77</v>
      </c>
      <c r="I326" s="4" t="n">
        <v>1</v>
      </c>
      <c r="J326" s="4" t="n">
        <v>0</v>
      </c>
      <c r="K326" s="5" t="n">
        <v>0.48</v>
      </c>
      <c r="L326" s="4" t="n">
        <v>0</v>
      </c>
      <c r="M326" s="6" t="n">
        <f aca="false">$R$2 + SUMPRODUCT(B326:K326,$S$2:$AB$2)</f>
        <v>0.46892815</v>
      </c>
      <c r="N326" s="6" t="n">
        <f aca="false">1/(1+EXP(-M326))</f>
        <v>0.615130032516243</v>
      </c>
      <c r="O326" s="6" t="n">
        <f aca="false">IF(L326=1,N326,1-N326)</f>
        <v>0.384869967483757</v>
      </c>
      <c r="P326" s="6" t="n">
        <f aca="false">LN(O326)</f>
        <v>-0.954849748539084</v>
      </c>
      <c r="AD326" s="8" t="n">
        <f aca="false">B326</f>
        <v>42</v>
      </c>
      <c r="AE326" s="8" t="n">
        <f aca="false">C326</f>
        <v>59200</v>
      </c>
      <c r="AF326" s="8" t="n">
        <f aca="false">D326</f>
        <v>5</v>
      </c>
      <c r="AG326" s="9" t="n">
        <f aca="false">E326*0.85</f>
        <v>69.1645</v>
      </c>
      <c r="AH326" s="9" t="n">
        <f aca="false">F326*0.9</f>
        <v>5.4</v>
      </c>
      <c r="AI326" s="9" t="n">
        <f aca="false">G326</f>
        <v>0.1</v>
      </c>
      <c r="AJ326" s="9" t="n">
        <f aca="false">H326*1.2</f>
        <v>92.4</v>
      </c>
      <c r="AK326" s="8" t="n">
        <f aca="false">I326</f>
        <v>1</v>
      </c>
      <c r="AL326" s="8" t="n">
        <f aca="false">J326</f>
        <v>0</v>
      </c>
      <c r="AM326" s="9" t="n">
        <f aca="false">K326</f>
        <v>0.48</v>
      </c>
      <c r="AN326" s="6" t="n">
        <f aca="false">$R$2 + SUMPRODUCT(AD326:AM326,$S$2:$AB$2)</f>
        <v>0.1466606685</v>
      </c>
      <c r="AO326" s="6" t="n">
        <f aca="false">1/(1+EXP(-AN326))</f>
        <v>0.536599587846975</v>
      </c>
    </row>
    <row r="327" customFormat="false" ht="15" hidden="false" customHeight="false" outlineLevel="0" collapsed="false">
      <c r="A327" s="3" t="s">
        <v>391</v>
      </c>
      <c r="B327" s="4" t="n">
        <v>46</v>
      </c>
      <c r="C327" s="4" t="n">
        <v>68900</v>
      </c>
      <c r="D327" s="4" t="n">
        <v>4</v>
      </c>
      <c r="E327" s="5" t="n">
        <v>85.27</v>
      </c>
      <c r="F327" s="4" t="n">
        <v>2</v>
      </c>
      <c r="G327" s="5" t="n">
        <v>0.76</v>
      </c>
      <c r="H327" s="4" t="n">
        <v>179</v>
      </c>
      <c r="I327" s="4" t="n">
        <v>1</v>
      </c>
      <c r="J327" s="4" t="n">
        <v>0</v>
      </c>
      <c r="K327" s="5" t="n">
        <v>0.53</v>
      </c>
      <c r="L327" s="4" t="n">
        <v>1</v>
      </c>
      <c r="M327" s="6" t="n">
        <f aca="false">$R$2 + SUMPRODUCT(B327:K327,$S$2:$AB$2)</f>
        <v>0.60466836</v>
      </c>
      <c r="N327" s="6" t="n">
        <f aca="false">1/(1+EXP(-M327))</f>
        <v>0.646723625732454</v>
      </c>
      <c r="O327" s="6" t="n">
        <f aca="false">IF(L327=1,N327,1-N327)</f>
        <v>0.646723625732454</v>
      </c>
      <c r="P327" s="6" t="n">
        <f aca="false">LN(O327)</f>
        <v>-0.435836238442212</v>
      </c>
      <c r="AD327" s="8" t="n">
        <f aca="false">B327</f>
        <v>46</v>
      </c>
      <c r="AE327" s="8" t="n">
        <f aca="false">C327</f>
        <v>68900</v>
      </c>
      <c r="AF327" s="8" t="n">
        <f aca="false">D327</f>
        <v>4</v>
      </c>
      <c r="AG327" s="9" t="n">
        <f aca="false">E327*0.85</f>
        <v>72.4795</v>
      </c>
      <c r="AH327" s="9" t="n">
        <f aca="false">F327*0.9</f>
        <v>1.8</v>
      </c>
      <c r="AI327" s="9" t="n">
        <f aca="false">G327</f>
        <v>0.76</v>
      </c>
      <c r="AJ327" s="9" t="n">
        <f aca="false">H327*1.2</f>
        <v>214.8</v>
      </c>
      <c r="AK327" s="8" t="n">
        <f aca="false">I327</f>
        <v>1</v>
      </c>
      <c r="AL327" s="8" t="n">
        <f aca="false">J327</f>
        <v>0</v>
      </c>
      <c r="AM327" s="9" t="n">
        <f aca="false">K327</f>
        <v>0.53</v>
      </c>
      <c r="AN327" s="6" t="n">
        <f aca="false">$R$2 + SUMPRODUCT(AD327:AM327,$S$2:$AB$2)</f>
        <v>0.2035045735</v>
      </c>
      <c r="AO327" s="6" t="n">
        <f aca="false">1/(1+EXP(-AN327))</f>
        <v>0.550701284977236</v>
      </c>
    </row>
    <row r="328" customFormat="false" ht="15" hidden="false" customHeight="false" outlineLevel="0" collapsed="false">
      <c r="A328" s="3" t="s">
        <v>392</v>
      </c>
      <c r="B328" s="4" t="n">
        <v>35</v>
      </c>
      <c r="C328" s="4" t="n">
        <v>28400</v>
      </c>
      <c r="D328" s="4" t="n">
        <v>4</v>
      </c>
      <c r="E328" s="5" t="n">
        <v>40.15</v>
      </c>
      <c r="F328" s="4" t="n">
        <v>2</v>
      </c>
      <c r="G328" s="5" t="n">
        <v>0.14</v>
      </c>
      <c r="H328" s="4" t="n">
        <v>133</v>
      </c>
      <c r="I328" s="4" t="n">
        <v>0</v>
      </c>
      <c r="J328" s="4" t="n">
        <v>0</v>
      </c>
      <c r="K328" s="5" t="n">
        <v>0.25</v>
      </c>
      <c r="L328" s="4" t="n">
        <v>0</v>
      </c>
      <c r="M328" s="6" t="n">
        <f aca="false">$R$2 + SUMPRODUCT(B328:K328,$S$2:$AB$2)</f>
        <v>-2.60935986</v>
      </c>
      <c r="N328" s="6" t="n">
        <f aca="false">1/(1+EXP(-M328))</f>
        <v>0.068538459577495</v>
      </c>
      <c r="O328" s="6" t="n">
        <f aca="false">IF(L328=1,N328,1-N328)</f>
        <v>0.931461540422505</v>
      </c>
      <c r="P328" s="6" t="n">
        <f aca="false">LN(O328)</f>
        <v>-0.0710003775840498</v>
      </c>
      <c r="AD328" s="8" t="n">
        <f aca="false">B328</f>
        <v>35</v>
      </c>
      <c r="AE328" s="8" t="n">
        <f aca="false">C328</f>
        <v>28400</v>
      </c>
      <c r="AF328" s="8" t="n">
        <f aca="false">D328</f>
        <v>4</v>
      </c>
      <c r="AG328" s="9" t="n">
        <f aca="false">E328*0.85</f>
        <v>34.1275</v>
      </c>
      <c r="AH328" s="9" t="n">
        <f aca="false">F328*0.9</f>
        <v>1.8</v>
      </c>
      <c r="AI328" s="9" t="n">
        <f aca="false">G328</f>
        <v>0.14</v>
      </c>
      <c r="AJ328" s="9" t="n">
        <f aca="false">H328*1.2</f>
        <v>159.6</v>
      </c>
      <c r="AK328" s="8" t="n">
        <f aca="false">I328</f>
        <v>0</v>
      </c>
      <c r="AL328" s="8" t="n">
        <f aca="false">J328</f>
        <v>0</v>
      </c>
      <c r="AM328" s="9" t="n">
        <f aca="false">K328</f>
        <v>0.25</v>
      </c>
      <c r="AN328" s="6" t="n">
        <f aca="false">$R$2 + SUMPRODUCT(AD328:AM328,$S$2:$AB$2)</f>
        <v>-2.8666355025</v>
      </c>
      <c r="AO328" s="6" t="n">
        <f aca="false">1/(1+EXP(-AN328))</f>
        <v>0.0538277499482436</v>
      </c>
    </row>
    <row r="329" customFormat="false" ht="15" hidden="false" customHeight="false" outlineLevel="0" collapsed="false">
      <c r="A329" s="3" t="s">
        <v>393</v>
      </c>
      <c r="B329" s="4" t="n">
        <v>63</v>
      </c>
      <c r="C329" s="4" t="n">
        <v>75600</v>
      </c>
      <c r="D329" s="4" t="n">
        <v>7</v>
      </c>
      <c r="E329" s="5" t="n">
        <v>75.5</v>
      </c>
      <c r="F329" s="4" t="n">
        <v>5</v>
      </c>
      <c r="G329" s="5" t="n">
        <v>0.22</v>
      </c>
      <c r="H329" s="4" t="n">
        <v>311</v>
      </c>
      <c r="I329" s="4" t="n">
        <v>0</v>
      </c>
      <c r="J329" s="4" t="n">
        <v>1</v>
      </c>
      <c r="K329" s="5" t="n">
        <v>0.25</v>
      </c>
      <c r="L329" s="4" t="n">
        <v>1</v>
      </c>
      <c r="M329" s="6" t="n">
        <f aca="false">$R$2 + SUMPRODUCT(B329:K329,$S$2:$AB$2)</f>
        <v>-0.71985763</v>
      </c>
      <c r="N329" s="6" t="n">
        <f aca="false">1/(1+EXP(-M329))</f>
        <v>0.327424334547253</v>
      </c>
      <c r="O329" s="6" t="n">
        <f aca="false">IF(L329=1,N329,1-N329)</f>
        <v>0.327424334547253</v>
      </c>
      <c r="P329" s="6" t="n">
        <f aca="false">LN(O329)</f>
        <v>-1.11649829015095</v>
      </c>
      <c r="AD329" s="8" t="n">
        <f aca="false">B329</f>
        <v>63</v>
      </c>
      <c r="AE329" s="8" t="n">
        <f aca="false">C329</f>
        <v>75600</v>
      </c>
      <c r="AF329" s="8" t="n">
        <f aca="false">D329</f>
        <v>7</v>
      </c>
      <c r="AG329" s="9" t="n">
        <f aca="false">E329*0.85</f>
        <v>64.175</v>
      </c>
      <c r="AH329" s="9" t="n">
        <f aca="false">F329*0.9</f>
        <v>4.5</v>
      </c>
      <c r="AI329" s="9" t="n">
        <f aca="false">G329</f>
        <v>0.22</v>
      </c>
      <c r="AJ329" s="9" t="n">
        <f aca="false">H329*1.2</f>
        <v>373.2</v>
      </c>
      <c r="AK329" s="8" t="n">
        <f aca="false">I329</f>
        <v>0</v>
      </c>
      <c r="AL329" s="8" t="n">
        <f aca="false">J329</f>
        <v>1</v>
      </c>
      <c r="AM329" s="9" t="n">
        <f aca="false">K329</f>
        <v>0.25</v>
      </c>
      <c r="AN329" s="6" t="n">
        <f aca="false">$R$2 + SUMPRODUCT(AD329:AM329,$S$2:$AB$2)</f>
        <v>-1.288165455</v>
      </c>
      <c r="AO329" s="6" t="n">
        <f aca="false">1/(1+EXP(-AN329))</f>
        <v>0.216163488460109</v>
      </c>
    </row>
    <row r="330" customFormat="false" ht="15" hidden="false" customHeight="false" outlineLevel="0" collapsed="false">
      <c r="A330" s="3" t="s">
        <v>394</v>
      </c>
      <c r="B330" s="4" t="n">
        <v>35</v>
      </c>
      <c r="C330" s="4" t="n">
        <v>61100</v>
      </c>
      <c r="D330" s="4" t="n">
        <v>9</v>
      </c>
      <c r="E330" s="5" t="n">
        <v>43.59</v>
      </c>
      <c r="F330" s="4" t="n">
        <v>4</v>
      </c>
      <c r="G330" s="5" t="n">
        <v>0.37</v>
      </c>
      <c r="H330" s="4" t="n">
        <v>229</v>
      </c>
      <c r="I330" s="4" t="n">
        <v>0</v>
      </c>
      <c r="J330" s="4" t="n">
        <v>1</v>
      </c>
      <c r="K330" s="5" t="n">
        <v>0.24</v>
      </c>
      <c r="L330" s="4" t="n">
        <v>1</v>
      </c>
      <c r="M330" s="6" t="n">
        <f aca="false">$R$2 + SUMPRODUCT(B330:K330,$S$2:$AB$2)</f>
        <v>-0.18870134</v>
      </c>
      <c r="N330" s="6" t="n">
        <f aca="false">1/(1+EXP(-M330))</f>
        <v>0.452964154039224</v>
      </c>
      <c r="O330" s="6" t="n">
        <f aca="false">IF(L330=1,N330,1-N330)</f>
        <v>0.452964154039224</v>
      </c>
      <c r="P330" s="6" t="n">
        <f aca="false">LN(O330)</f>
        <v>-0.791942286786298</v>
      </c>
      <c r="AD330" s="8" t="n">
        <f aca="false">B330</f>
        <v>35</v>
      </c>
      <c r="AE330" s="8" t="n">
        <f aca="false">C330</f>
        <v>61100</v>
      </c>
      <c r="AF330" s="8" t="n">
        <f aca="false">D330</f>
        <v>9</v>
      </c>
      <c r="AG330" s="9" t="n">
        <f aca="false">E330*0.85</f>
        <v>37.0515</v>
      </c>
      <c r="AH330" s="9" t="n">
        <f aca="false">F330*0.9</f>
        <v>3.6</v>
      </c>
      <c r="AI330" s="9" t="n">
        <f aca="false">G330</f>
        <v>0.37</v>
      </c>
      <c r="AJ330" s="9" t="n">
        <f aca="false">H330*1.2</f>
        <v>274.8</v>
      </c>
      <c r="AK330" s="8" t="n">
        <f aca="false">I330</f>
        <v>0</v>
      </c>
      <c r="AL330" s="8" t="n">
        <f aca="false">J330</f>
        <v>1</v>
      </c>
      <c r="AM330" s="9" t="n">
        <f aca="false">K330</f>
        <v>0.24</v>
      </c>
      <c r="AN330" s="6" t="n">
        <f aca="false">$R$2 + SUMPRODUCT(AD330:AM330,$S$2:$AB$2)</f>
        <v>-0.5866746105</v>
      </c>
      <c r="AO330" s="6" t="n">
        <f aca="false">1/(1+EXP(-AN330))</f>
        <v>0.357398216296883</v>
      </c>
    </row>
    <row r="331" customFormat="false" ht="15" hidden="false" customHeight="false" outlineLevel="0" collapsed="false">
      <c r="A331" s="3" t="s">
        <v>395</v>
      </c>
      <c r="B331" s="4" t="n">
        <v>19</v>
      </c>
      <c r="C331" s="4" t="n">
        <v>47500</v>
      </c>
      <c r="D331" s="4" t="n">
        <v>4</v>
      </c>
      <c r="E331" s="5" t="n">
        <v>67.44</v>
      </c>
      <c r="F331" s="4" t="n">
        <v>3</v>
      </c>
      <c r="G331" s="5" t="n">
        <v>0.63</v>
      </c>
      <c r="H331" s="4" t="n">
        <v>276</v>
      </c>
      <c r="I331" s="4" t="n">
        <v>0</v>
      </c>
      <c r="J331" s="4" t="n">
        <v>1</v>
      </c>
      <c r="K331" s="5" t="n">
        <v>0.44</v>
      </c>
      <c r="L331" s="4" t="n">
        <v>1</v>
      </c>
      <c r="M331" s="6" t="n">
        <f aca="false">$R$2 + SUMPRODUCT(B331:K331,$S$2:$AB$2)</f>
        <v>-0.67105323</v>
      </c>
      <c r="N331" s="6" t="n">
        <f aca="false">1/(1+EXP(-M331))</f>
        <v>0.338261045110602</v>
      </c>
      <c r="O331" s="6" t="n">
        <f aca="false">IF(L331=1,N331,1-N331)</f>
        <v>0.338261045110602</v>
      </c>
      <c r="P331" s="6" t="n">
        <f aca="false">LN(O331)</f>
        <v>-1.08393735877448</v>
      </c>
      <c r="AD331" s="8" t="n">
        <f aca="false">B331</f>
        <v>19</v>
      </c>
      <c r="AE331" s="8" t="n">
        <f aca="false">C331</f>
        <v>47500</v>
      </c>
      <c r="AF331" s="8" t="n">
        <f aca="false">D331</f>
        <v>4</v>
      </c>
      <c r="AG331" s="9" t="n">
        <f aca="false">E331*0.85</f>
        <v>57.324</v>
      </c>
      <c r="AH331" s="9" t="n">
        <f aca="false">F331*0.9</f>
        <v>2.7</v>
      </c>
      <c r="AI331" s="9" t="n">
        <f aca="false">G331</f>
        <v>0.63</v>
      </c>
      <c r="AJ331" s="9" t="n">
        <f aca="false">H331*1.2</f>
        <v>331.2</v>
      </c>
      <c r="AK331" s="8" t="n">
        <f aca="false">I331</f>
        <v>0</v>
      </c>
      <c r="AL331" s="8" t="n">
        <f aca="false">J331</f>
        <v>1</v>
      </c>
      <c r="AM331" s="9" t="n">
        <f aca="false">K331</f>
        <v>0.44</v>
      </c>
      <c r="AN331" s="6" t="n">
        <f aca="false">$R$2 + SUMPRODUCT(AD331:AM331,$S$2:$AB$2)</f>
        <v>-1.159601958</v>
      </c>
      <c r="AO331" s="6" t="n">
        <f aca="false">1/(1+EXP(-AN331))</f>
        <v>0.238739618986456</v>
      </c>
    </row>
    <row r="332" customFormat="false" ht="15" hidden="false" customHeight="false" outlineLevel="0" collapsed="false">
      <c r="A332" s="3" t="s">
        <v>396</v>
      </c>
      <c r="B332" s="4" t="n">
        <v>52</v>
      </c>
      <c r="C332" s="4" t="n">
        <v>66400</v>
      </c>
      <c r="D332" s="4" t="n">
        <v>6</v>
      </c>
      <c r="E332" s="5" t="n">
        <v>33.39</v>
      </c>
      <c r="F332" s="4" t="n">
        <v>3</v>
      </c>
      <c r="G332" s="5" t="n">
        <v>0.47</v>
      </c>
      <c r="H332" s="4" t="n">
        <v>152</v>
      </c>
      <c r="I332" s="4" t="n">
        <v>1</v>
      </c>
      <c r="J332" s="4" t="n">
        <v>1</v>
      </c>
      <c r="K332" s="5" t="n">
        <v>0.14</v>
      </c>
      <c r="L332" s="4" t="n">
        <v>1</v>
      </c>
      <c r="M332" s="6" t="n">
        <f aca="false">$R$2 + SUMPRODUCT(B332:K332,$S$2:$AB$2)</f>
        <v>0.13674586</v>
      </c>
      <c r="N332" s="6" t="n">
        <f aca="false">1/(1+EXP(-M332))</f>
        <v>0.534133292143251</v>
      </c>
      <c r="O332" s="6" t="n">
        <f aca="false">IF(L332=1,N332,1-N332)</f>
        <v>0.534133292143251</v>
      </c>
      <c r="P332" s="6" t="n">
        <f aca="false">LN(O332)</f>
        <v>-0.627109860414372</v>
      </c>
      <c r="AD332" s="8" t="n">
        <f aca="false">B332</f>
        <v>52</v>
      </c>
      <c r="AE332" s="8" t="n">
        <f aca="false">C332</f>
        <v>66400</v>
      </c>
      <c r="AF332" s="8" t="n">
        <f aca="false">D332</f>
        <v>6</v>
      </c>
      <c r="AG332" s="9" t="n">
        <f aca="false">E332*0.85</f>
        <v>28.3815</v>
      </c>
      <c r="AH332" s="9" t="n">
        <f aca="false">F332*0.9</f>
        <v>2.7</v>
      </c>
      <c r="AI332" s="9" t="n">
        <f aca="false">G332</f>
        <v>0.47</v>
      </c>
      <c r="AJ332" s="9" t="n">
        <f aca="false">H332*1.2</f>
        <v>182.4</v>
      </c>
      <c r="AK332" s="8" t="n">
        <f aca="false">I332</f>
        <v>1</v>
      </c>
      <c r="AL332" s="8" t="n">
        <f aca="false">J332</f>
        <v>1</v>
      </c>
      <c r="AM332" s="9" t="n">
        <f aca="false">K332</f>
        <v>0.14</v>
      </c>
      <c r="AN332" s="6" t="n">
        <f aca="false">$R$2 + SUMPRODUCT(AD332:AM332,$S$2:$AB$2)</f>
        <v>-0.1403954205</v>
      </c>
      <c r="AO332" s="6" t="n">
        <f aca="false">1/(1+EXP(-AN332))</f>
        <v>0.464958683889428</v>
      </c>
    </row>
    <row r="333" customFormat="false" ht="15" hidden="false" customHeight="false" outlineLevel="0" collapsed="false">
      <c r="A333" s="3" t="s">
        <v>397</v>
      </c>
      <c r="B333" s="4" t="n">
        <v>33</v>
      </c>
      <c r="C333" s="4" t="n">
        <v>95900</v>
      </c>
      <c r="D333" s="4" t="n">
        <v>6</v>
      </c>
      <c r="E333" s="5" t="n">
        <v>20.17</v>
      </c>
      <c r="F333" s="4" t="n">
        <v>5</v>
      </c>
      <c r="G333" s="5" t="n">
        <v>0.27</v>
      </c>
      <c r="H333" s="4" t="n">
        <v>164</v>
      </c>
      <c r="I333" s="4" t="n">
        <v>1</v>
      </c>
      <c r="J333" s="4" t="n">
        <v>1</v>
      </c>
      <c r="K333" s="5" t="n">
        <v>0.18</v>
      </c>
      <c r="L333" s="4" t="n">
        <v>0</v>
      </c>
      <c r="M333" s="6" t="n">
        <f aca="false">$R$2 + SUMPRODUCT(B333:K333,$S$2:$AB$2)</f>
        <v>0.735071720000001</v>
      </c>
      <c r="N333" s="6" t="n">
        <f aca="false">1/(1+EXP(-M333))</f>
        <v>0.675917238414294</v>
      </c>
      <c r="O333" s="6" t="n">
        <f aca="false">IF(L333=1,N333,1-N333)</f>
        <v>0.324082761585706</v>
      </c>
      <c r="P333" s="6" t="n">
        <f aca="false">LN(O333)</f>
        <v>-1.12675635881536</v>
      </c>
      <c r="AD333" s="8" t="n">
        <f aca="false">B333</f>
        <v>33</v>
      </c>
      <c r="AE333" s="8" t="n">
        <f aca="false">C333</f>
        <v>95900</v>
      </c>
      <c r="AF333" s="8" t="n">
        <f aca="false">D333</f>
        <v>6</v>
      </c>
      <c r="AG333" s="9" t="n">
        <f aca="false">E333*0.85</f>
        <v>17.1445</v>
      </c>
      <c r="AH333" s="9" t="n">
        <f aca="false">F333*0.9</f>
        <v>4.5</v>
      </c>
      <c r="AI333" s="9" t="n">
        <f aca="false">G333</f>
        <v>0.27</v>
      </c>
      <c r="AJ333" s="9" t="n">
        <f aca="false">H333*1.2</f>
        <v>196.8</v>
      </c>
      <c r="AK333" s="8" t="n">
        <f aca="false">I333</f>
        <v>1</v>
      </c>
      <c r="AL333" s="8" t="n">
        <f aca="false">J333</f>
        <v>1</v>
      </c>
      <c r="AM333" s="9" t="n">
        <f aca="false">K333</f>
        <v>0.18</v>
      </c>
      <c r="AN333" s="6" t="n">
        <f aca="false">$R$2 + SUMPRODUCT(AD333:AM333,$S$2:$AB$2)</f>
        <v>0.4475362785</v>
      </c>
      <c r="AO333" s="6" t="n">
        <f aca="false">1/(1+EXP(-AN333))</f>
        <v>0.610053302668607</v>
      </c>
    </row>
    <row r="334" customFormat="false" ht="15" hidden="false" customHeight="false" outlineLevel="0" collapsed="false">
      <c r="A334" s="3" t="s">
        <v>398</v>
      </c>
      <c r="B334" s="4" t="n">
        <v>58</v>
      </c>
      <c r="C334" s="4" t="n">
        <v>58300</v>
      </c>
      <c r="D334" s="4" t="n">
        <v>5</v>
      </c>
      <c r="E334" s="5" t="n">
        <v>55.43</v>
      </c>
      <c r="F334" s="4" t="n">
        <v>1</v>
      </c>
      <c r="G334" s="5" t="n">
        <v>0.35</v>
      </c>
      <c r="H334" s="4" t="n">
        <v>290</v>
      </c>
      <c r="I334" s="4" t="n">
        <v>1</v>
      </c>
      <c r="J334" s="4" t="n">
        <v>0</v>
      </c>
      <c r="K334" s="5" t="n">
        <v>0.66</v>
      </c>
      <c r="L334" s="4" t="n">
        <v>1</v>
      </c>
      <c r="M334" s="6" t="n">
        <f aca="false">$R$2 + SUMPRODUCT(B334:K334,$S$2:$AB$2)</f>
        <v>-1.27348718</v>
      </c>
      <c r="N334" s="6" t="n">
        <f aca="false">1/(1+EXP(-M334))</f>
        <v>0.218660888821501</v>
      </c>
      <c r="O334" s="6" t="n">
        <f aca="false">IF(L334=1,N334,1-N334)</f>
        <v>0.218660888821501</v>
      </c>
      <c r="P334" s="6" t="n">
        <f aca="false">LN(O334)</f>
        <v>-1.52023320212766</v>
      </c>
      <c r="AD334" s="8" t="n">
        <f aca="false">B334</f>
        <v>58</v>
      </c>
      <c r="AE334" s="8" t="n">
        <f aca="false">C334</f>
        <v>58300</v>
      </c>
      <c r="AF334" s="8" t="n">
        <f aca="false">D334</f>
        <v>5</v>
      </c>
      <c r="AG334" s="9" t="n">
        <f aca="false">E334*0.85</f>
        <v>47.1155</v>
      </c>
      <c r="AH334" s="9" t="n">
        <f aca="false">F334*0.9</f>
        <v>0.9</v>
      </c>
      <c r="AI334" s="9" t="n">
        <f aca="false">G334</f>
        <v>0.35</v>
      </c>
      <c r="AJ334" s="9" t="n">
        <f aca="false">H334*1.2</f>
        <v>348</v>
      </c>
      <c r="AK334" s="8" t="n">
        <f aca="false">I334</f>
        <v>1</v>
      </c>
      <c r="AL334" s="8" t="n">
        <f aca="false">J334</f>
        <v>0</v>
      </c>
      <c r="AM334" s="9" t="n">
        <f aca="false">K334</f>
        <v>0.66</v>
      </c>
      <c r="AN334" s="6" t="n">
        <f aca="false">$R$2 + SUMPRODUCT(AD334:AM334,$S$2:$AB$2)</f>
        <v>-1.7307461585</v>
      </c>
      <c r="AO334" s="6" t="n">
        <f aca="false">1/(1+EXP(-AN334))</f>
        <v>0.150492162776627</v>
      </c>
    </row>
    <row r="335" customFormat="false" ht="15" hidden="false" customHeight="false" outlineLevel="0" collapsed="false">
      <c r="A335" s="3" t="s">
        <v>399</v>
      </c>
      <c r="B335" s="4" t="n">
        <v>53</v>
      </c>
      <c r="C335" s="4" t="n">
        <v>59500</v>
      </c>
      <c r="D335" s="4" t="n">
        <v>8</v>
      </c>
      <c r="E335" s="5" t="n">
        <v>61.91</v>
      </c>
      <c r="F335" s="4" t="n">
        <v>3</v>
      </c>
      <c r="G335" s="5" t="n">
        <v>0.38</v>
      </c>
      <c r="H335" s="4" t="n">
        <v>109</v>
      </c>
      <c r="I335" s="4" t="n">
        <v>1</v>
      </c>
      <c r="J335" s="4" t="n">
        <v>0</v>
      </c>
      <c r="K335" s="5" t="n">
        <v>0.69</v>
      </c>
      <c r="L335" s="4" t="n">
        <v>0</v>
      </c>
      <c r="M335" s="6" t="n">
        <f aca="false">$R$2 + SUMPRODUCT(B335:K335,$S$2:$AB$2)</f>
        <v>0.82389778</v>
      </c>
      <c r="N335" s="6" t="n">
        <f aca="false">1/(1+EXP(-M335))</f>
        <v>0.695063103634397</v>
      </c>
      <c r="O335" s="6" t="n">
        <f aca="false">IF(L335=1,N335,1-N335)</f>
        <v>0.304936896365603</v>
      </c>
      <c r="P335" s="6" t="n">
        <f aca="false">LN(O335)</f>
        <v>-1.18765042094285</v>
      </c>
      <c r="AD335" s="8" t="n">
        <f aca="false">B335</f>
        <v>53</v>
      </c>
      <c r="AE335" s="8" t="n">
        <f aca="false">C335</f>
        <v>59500</v>
      </c>
      <c r="AF335" s="8" t="n">
        <f aca="false">D335</f>
        <v>8</v>
      </c>
      <c r="AG335" s="9" t="n">
        <f aca="false">E335*0.85</f>
        <v>52.6235</v>
      </c>
      <c r="AH335" s="9" t="n">
        <f aca="false">F335*0.9</f>
        <v>2.7</v>
      </c>
      <c r="AI335" s="9" t="n">
        <f aca="false">G335</f>
        <v>0.38</v>
      </c>
      <c r="AJ335" s="9" t="n">
        <f aca="false">H335*1.2</f>
        <v>130.8</v>
      </c>
      <c r="AK335" s="8" t="n">
        <f aca="false">I335</f>
        <v>1</v>
      </c>
      <c r="AL335" s="8" t="n">
        <f aca="false">J335</f>
        <v>0</v>
      </c>
      <c r="AM335" s="9" t="n">
        <f aca="false">K335</f>
        <v>0.69</v>
      </c>
      <c r="AN335" s="6" t="n">
        <f aca="false">$R$2 + SUMPRODUCT(AD335:AM335,$S$2:$AB$2)</f>
        <v>0.538808925500001</v>
      </c>
      <c r="AO335" s="6" t="n">
        <f aca="false">1/(1+EXP(-AN335))</f>
        <v>0.631535299976759</v>
      </c>
    </row>
    <row r="336" customFormat="false" ht="15" hidden="false" customHeight="false" outlineLevel="0" collapsed="false">
      <c r="A336" s="3" t="s">
        <v>400</v>
      </c>
      <c r="B336" s="4" t="n">
        <v>50</v>
      </c>
      <c r="C336" s="4" t="n">
        <v>46700</v>
      </c>
      <c r="D336" s="4" t="n">
        <v>6</v>
      </c>
      <c r="E336" s="5" t="n">
        <v>55.06</v>
      </c>
      <c r="F336" s="4" t="n">
        <v>7</v>
      </c>
      <c r="G336" s="5" t="n">
        <v>0.12</v>
      </c>
      <c r="H336" s="4" t="n">
        <v>126</v>
      </c>
      <c r="I336" s="4" t="n">
        <v>0</v>
      </c>
      <c r="J336" s="4" t="n">
        <v>0</v>
      </c>
      <c r="K336" s="5" t="n">
        <v>0.29</v>
      </c>
      <c r="L336" s="4" t="n">
        <v>0</v>
      </c>
      <c r="M336" s="6" t="n">
        <f aca="false">$R$2 + SUMPRODUCT(B336:K336,$S$2:$AB$2)</f>
        <v>-1.14994393</v>
      </c>
      <c r="N336" s="6" t="n">
        <f aca="false">1/(1+EXP(-M336))</f>
        <v>0.240499324614398</v>
      </c>
      <c r="O336" s="6" t="n">
        <f aca="false">IF(L336=1,N336,1-N336)</f>
        <v>0.759500675385602</v>
      </c>
      <c r="P336" s="6" t="n">
        <f aca="false">LN(O336)</f>
        <v>-0.275094067696406</v>
      </c>
      <c r="AD336" s="8" t="n">
        <f aca="false">B336</f>
        <v>50</v>
      </c>
      <c r="AE336" s="8" t="n">
        <f aca="false">C336</f>
        <v>46700</v>
      </c>
      <c r="AF336" s="8" t="n">
        <f aca="false">D336</f>
        <v>6</v>
      </c>
      <c r="AG336" s="9" t="n">
        <f aca="false">E336*0.85</f>
        <v>46.801</v>
      </c>
      <c r="AH336" s="9" t="n">
        <f aca="false">F336*0.9</f>
        <v>6.3</v>
      </c>
      <c r="AI336" s="9" t="n">
        <f aca="false">G336</f>
        <v>0.12</v>
      </c>
      <c r="AJ336" s="9" t="n">
        <f aca="false">H336*1.2</f>
        <v>151.2</v>
      </c>
      <c r="AK336" s="8" t="n">
        <f aca="false">I336</f>
        <v>0</v>
      </c>
      <c r="AL336" s="8" t="n">
        <f aca="false">J336</f>
        <v>0</v>
      </c>
      <c r="AM336" s="9" t="n">
        <f aca="false">K336</f>
        <v>0.29</v>
      </c>
      <c r="AN336" s="6" t="n">
        <f aca="false">$R$2 + SUMPRODUCT(AD336:AM336,$S$2:$AB$2)</f>
        <v>-1.487232777</v>
      </c>
      <c r="AO336" s="6" t="n">
        <f aca="false">1/(1+EXP(-AN336))</f>
        <v>0.184337435780738</v>
      </c>
    </row>
    <row r="337" customFormat="false" ht="15" hidden="false" customHeight="false" outlineLevel="0" collapsed="false">
      <c r="A337" s="3" t="s">
        <v>401</v>
      </c>
      <c r="B337" s="4" t="n">
        <v>21</v>
      </c>
      <c r="C337" s="4" t="n">
        <v>39700</v>
      </c>
      <c r="D337" s="4" t="n">
        <v>4</v>
      </c>
      <c r="E337" s="5" t="n">
        <v>35.4</v>
      </c>
      <c r="F337" s="4" t="n">
        <v>5</v>
      </c>
      <c r="G337" s="5" t="n">
        <v>0.16</v>
      </c>
      <c r="H337" s="4" t="n">
        <v>240</v>
      </c>
      <c r="I337" s="4" t="n">
        <v>0</v>
      </c>
      <c r="J337" s="4" t="n">
        <v>1</v>
      </c>
      <c r="K337" s="5" t="n">
        <v>0.33</v>
      </c>
      <c r="L337" s="4" t="n">
        <v>0</v>
      </c>
      <c r="M337" s="6" t="n">
        <f aca="false">$R$2 + SUMPRODUCT(B337:K337,$S$2:$AB$2)</f>
        <v>-1.76604555</v>
      </c>
      <c r="N337" s="6" t="n">
        <f aca="false">1/(1+EXP(-M337))</f>
        <v>0.146034793025466</v>
      </c>
      <c r="O337" s="6" t="n">
        <f aca="false">IF(L337=1,N337,1-N337)</f>
        <v>0.853965206974534</v>
      </c>
      <c r="P337" s="6" t="n">
        <f aca="false">LN(O337)</f>
        <v>-0.157864827271133</v>
      </c>
      <c r="AD337" s="8" t="n">
        <f aca="false">B337</f>
        <v>21</v>
      </c>
      <c r="AE337" s="8" t="n">
        <f aca="false">C337</f>
        <v>39700</v>
      </c>
      <c r="AF337" s="8" t="n">
        <f aca="false">D337</f>
        <v>4</v>
      </c>
      <c r="AG337" s="9" t="n">
        <f aca="false">E337*0.85</f>
        <v>30.09</v>
      </c>
      <c r="AH337" s="9" t="n">
        <f aca="false">F337*0.9</f>
        <v>4.5</v>
      </c>
      <c r="AI337" s="9" t="n">
        <f aca="false">G337</f>
        <v>0.16</v>
      </c>
      <c r="AJ337" s="9" t="n">
        <f aca="false">H337*1.2</f>
        <v>288</v>
      </c>
      <c r="AK337" s="8" t="n">
        <f aca="false">I337</f>
        <v>0</v>
      </c>
      <c r="AL337" s="8" t="n">
        <f aca="false">J337</f>
        <v>1</v>
      </c>
      <c r="AM337" s="9" t="n">
        <f aca="false">K337</f>
        <v>0.33</v>
      </c>
      <c r="AN337" s="6" t="n">
        <f aca="false">$R$2 + SUMPRODUCT(AD337:AM337,$S$2:$AB$2)</f>
        <v>-2.17179028</v>
      </c>
      <c r="AO337" s="6" t="n">
        <f aca="false">1/(1+EXP(-AN337))</f>
        <v>0.102312488708682</v>
      </c>
    </row>
    <row r="338" customFormat="false" ht="15" hidden="false" customHeight="false" outlineLevel="0" collapsed="false">
      <c r="A338" s="3" t="s">
        <v>402</v>
      </c>
      <c r="B338" s="4" t="n">
        <v>50</v>
      </c>
      <c r="C338" s="4" t="n">
        <v>69900</v>
      </c>
      <c r="D338" s="4" t="n">
        <v>7</v>
      </c>
      <c r="E338" s="5" t="n">
        <v>55</v>
      </c>
      <c r="F338" s="4" t="n">
        <v>6</v>
      </c>
      <c r="G338" s="5" t="n">
        <v>0.43</v>
      </c>
      <c r="H338" s="4" t="n">
        <v>310</v>
      </c>
      <c r="I338" s="4" t="n">
        <v>1</v>
      </c>
      <c r="J338" s="4" t="n">
        <v>1</v>
      </c>
      <c r="K338" s="5" t="n">
        <v>0.22</v>
      </c>
      <c r="L338" s="4" t="n">
        <v>1</v>
      </c>
      <c r="M338" s="6" t="n">
        <f aca="false">$R$2 + SUMPRODUCT(B338:K338,$S$2:$AB$2)</f>
        <v>0.18314079</v>
      </c>
      <c r="N338" s="6" t="n">
        <f aca="false">1/(1+EXP(-M338))</f>
        <v>0.545657653550793</v>
      </c>
      <c r="O338" s="6" t="n">
        <f aca="false">IF(L338=1,N338,1-N338)</f>
        <v>0.545657653550793</v>
      </c>
      <c r="P338" s="6" t="n">
        <f aca="false">LN(O338)</f>
        <v>-0.605763508037778</v>
      </c>
      <c r="AD338" s="8" t="n">
        <f aca="false">B338</f>
        <v>50</v>
      </c>
      <c r="AE338" s="8" t="n">
        <f aca="false">C338</f>
        <v>69900</v>
      </c>
      <c r="AF338" s="8" t="n">
        <f aca="false">D338</f>
        <v>7</v>
      </c>
      <c r="AG338" s="9" t="n">
        <f aca="false">E338*0.85</f>
        <v>46.75</v>
      </c>
      <c r="AH338" s="9" t="n">
        <f aca="false">F338*0.9</f>
        <v>5.4</v>
      </c>
      <c r="AI338" s="9" t="n">
        <f aca="false">G338</f>
        <v>0.43</v>
      </c>
      <c r="AJ338" s="9" t="n">
        <f aca="false">H338*1.2</f>
        <v>372</v>
      </c>
      <c r="AK338" s="8" t="n">
        <f aca="false">I338</f>
        <v>1</v>
      </c>
      <c r="AL338" s="8" t="n">
        <f aca="false">J338</f>
        <v>1</v>
      </c>
      <c r="AM338" s="9" t="n">
        <f aca="false">K338</f>
        <v>0.22</v>
      </c>
      <c r="AN338" s="6" t="n">
        <f aca="false">$R$2 + SUMPRODUCT(AD338:AM338,$S$2:$AB$2)</f>
        <v>-0.35431526</v>
      </c>
      <c r="AO338" s="6" t="n">
        <f aca="false">1/(1+EXP(-AN338))</f>
        <v>0.412336374385656</v>
      </c>
    </row>
    <row r="339" customFormat="false" ht="15" hidden="false" customHeight="false" outlineLevel="0" collapsed="false">
      <c r="A339" s="3" t="s">
        <v>403</v>
      </c>
      <c r="B339" s="4" t="n">
        <v>31</v>
      </c>
      <c r="C339" s="4" t="n">
        <v>39600</v>
      </c>
      <c r="D339" s="4" t="n">
        <v>5</v>
      </c>
      <c r="E339" s="5" t="n">
        <v>71.73</v>
      </c>
      <c r="F339" s="4" t="n">
        <v>5</v>
      </c>
      <c r="G339" s="5" t="n">
        <v>0.45</v>
      </c>
      <c r="H339" s="4" t="n">
        <v>345</v>
      </c>
      <c r="I339" s="4" t="n">
        <v>0</v>
      </c>
      <c r="J339" s="4" t="n">
        <v>0</v>
      </c>
      <c r="K339" s="5" t="n">
        <v>0.47</v>
      </c>
      <c r="L339" s="4" t="n">
        <v>0</v>
      </c>
      <c r="M339" s="6" t="n">
        <f aca="false">$R$2 + SUMPRODUCT(B339:K339,$S$2:$AB$2)</f>
        <v>-1.80224445</v>
      </c>
      <c r="N339" s="6" t="n">
        <f aca="false">1/(1+EXP(-M339))</f>
        <v>0.141578069044286</v>
      </c>
      <c r="O339" s="6" t="n">
        <f aca="false">IF(L339=1,N339,1-N339)</f>
        <v>0.858421930955714</v>
      </c>
      <c r="P339" s="6" t="n">
        <f aca="false">LN(O339)</f>
        <v>-0.152659539348354</v>
      </c>
      <c r="AD339" s="8" t="n">
        <f aca="false">B339</f>
        <v>31</v>
      </c>
      <c r="AE339" s="8" t="n">
        <f aca="false">C339</f>
        <v>39600</v>
      </c>
      <c r="AF339" s="8" t="n">
        <f aca="false">D339</f>
        <v>5</v>
      </c>
      <c r="AG339" s="9" t="n">
        <f aca="false">E339*0.85</f>
        <v>60.9705</v>
      </c>
      <c r="AH339" s="9" t="n">
        <f aca="false">F339*0.9</f>
        <v>4.5</v>
      </c>
      <c r="AI339" s="9" t="n">
        <f aca="false">G339</f>
        <v>0.45</v>
      </c>
      <c r="AJ339" s="9" t="n">
        <f aca="false">H339*1.2</f>
        <v>414</v>
      </c>
      <c r="AK339" s="8" t="n">
        <f aca="false">I339</f>
        <v>0</v>
      </c>
      <c r="AL339" s="8" t="n">
        <f aca="false">J339</f>
        <v>0</v>
      </c>
      <c r="AM339" s="9" t="n">
        <f aca="false">K339</f>
        <v>0.47</v>
      </c>
      <c r="AN339" s="6" t="n">
        <f aca="false">$R$2 + SUMPRODUCT(AD339:AM339,$S$2:$AB$2)</f>
        <v>-2.4021103135</v>
      </c>
      <c r="AO339" s="6" t="n">
        <f aca="false">1/(1+EXP(-AN339))</f>
        <v>0.0830119160279813</v>
      </c>
    </row>
    <row r="340" customFormat="false" ht="15" hidden="false" customHeight="false" outlineLevel="0" collapsed="false">
      <c r="A340" s="3" t="s">
        <v>404</v>
      </c>
      <c r="B340" s="4" t="n">
        <v>38</v>
      </c>
      <c r="C340" s="4" t="n">
        <v>56300</v>
      </c>
      <c r="D340" s="4" t="n">
        <v>2</v>
      </c>
      <c r="E340" s="5" t="n">
        <v>63.88</v>
      </c>
      <c r="F340" s="4" t="n">
        <v>4</v>
      </c>
      <c r="G340" s="5" t="n">
        <v>0.14</v>
      </c>
      <c r="H340" s="4" t="n">
        <v>146</v>
      </c>
      <c r="I340" s="4" t="n">
        <v>1</v>
      </c>
      <c r="J340" s="4" t="n">
        <v>1</v>
      </c>
      <c r="K340" s="5" t="n">
        <v>0.2</v>
      </c>
      <c r="L340" s="4" t="n">
        <v>1</v>
      </c>
      <c r="M340" s="6" t="n">
        <f aca="false">$R$2 + SUMPRODUCT(B340:K340,$S$2:$AB$2)</f>
        <v>-0.60658042</v>
      </c>
      <c r="N340" s="6" t="n">
        <f aca="false">1/(1+EXP(-M340))</f>
        <v>0.352839644410706</v>
      </c>
      <c r="O340" s="6" t="n">
        <f aca="false">IF(L340=1,N340,1-N340)</f>
        <v>0.352839644410706</v>
      </c>
      <c r="P340" s="6" t="n">
        <f aca="false">LN(O340)</f>
        <v>-1.04174159038398</v>
      </c>
      <c r="AD340" s="8" t="n">
        <f aca="false">B340</f>
        <v>38</v>
      </c>
      <c r="AE340" s="8" t="n">
        <f aca="false">C340</f>
        <v>56300</v>
      </c>
      <c r="AF340" s="8" t="n">
        <f aca="false">D340</f>
        <v>2</v>
      </c>
      <c r="AG340" s="9" t="n">
        <f aca="false">E340*0.85</f>
        <v>54.298</v>
      </c>
      <c r="AH340" s="9" t="n">
        <f aca="false">F340*0.9</f>
        <v>3.6</v>
      </c>
      <c r="AI340" s="9" t="n">
        <f aca="false">G340</f>
        <v>0.14</v>
      </c>
      <c r="AJ340" s="9" t="n">
        <f aca="false">H340*1.2</f>
        <v>175.2</v>
      </c>
      <c r="AK340" s="8" t="n">
        <f aca="false">I340</f>
        <v>1</v>
      </c>
      <c r="AL340" s="8" t="n">
        <f aca="false">J340</f>
        <v>1</v>
      </c>
      <c r="AM340" s="9" t="n">
        <f aca="false">K340</f>
        <v>0.2</v>
      </c>
      <c r="AN340" s="6" t="n">
        <f aca="false">$R$2 + SUMPRODUCT(AD340:AM340,$S$2:$AB$2)</f>
        <v>-0.949854226</v>
      </c>
      <c r="AO340" s="6" t="n">
        <f aca="false">1/(1+EXP(-AN340))</f>
        <v>0.278914139251034</v>
      </c>
    </row>
    <row r="341" customFormat="false" ht="15" hidden="false" customHeight="false" outlineLevel="0" collapsed="false">
      <c r="A341" s="3" t="s">
        <v>405</v>
      </c>
      <c r="B341" s="4" t="n">
        <v>65</v>
      </c>
      <c r="C341" s="4" t="n">
        <v>46400</v>
      </c>
      <c r="D341" s="4" t="n">
        <v>2</v>
      </c>
      <c r="E341" s="5" t="n">
        <v>69.56</v>
      </c>
      <c r="F341" s="4" t="n">
        <v>4</v>
      </c>
      <c r="G341" s="5" t="n">
        <v>0.07</v>
      </c>
      <c r="H341" s="4" t="n">
        <v>252</v>
      </c>
      <c r="I341" s="4" t="n">
        <v>1</v>
      </c>
      <c r="J341" s="4" t="n">
        <v>1</v>
      </c>
      <c r="K341" s="5" t="n">
        <v>0.31</v>
      </c>
      <c r="L341" s="4" t="n">
        <v>1</v>
      </c>
      <c r="M341" s="6" t="n">
        <f aca="false">$R$2 + SUMPRODUCT(B341:K341,$S$2:$AB$2)</f>
        <v>-1.66990932</v>
      </c>
      <c r="N341" s="6" t="n">
        <f aca="false">1/(1+EXP(-M341))</f>
        <v>0.158436269217344</v>
      </c>
      <c r="O341" s="6" t="n">
        <f aca="false">IF(L341=1,N341,1-N341)</f>
        <v>0.158436269217344</v>
      </c>
      <c r="P341" s="6" t="n">
        <f aca="false">LN(O341)</f>
        <v>-1.84240285348026</v>
      </c>
      <c r="AD341" s="8" t="n">
        <f aca="false">B341</f>
        <v>65</v>
      </c>
      <c r="AE341" s="8" t="n">
        <f aca="false">C341</f>
        <v>46400</v>
      </c>
      <c r="AF341" s="8" t="n">
        <f aca="false">D341</f>
        <v>2</v>
      </c>
      <c r="AG341" s="9" t="n">
        <f aca="false">E341*0.85</f>
        <v>59.126</v>
      </c>
      <c r="AH341" s="9" t="n">
        <f aca="false">F341*0.9</f>
        <v>3.6</v>
      </c>
      <c r="AI341" s="9" t="n">
        <f aca="false">G341</f>
        <v>0.07</v>
      </c>
      <c r="AJ341" s="9" t="n">
        <f aca="false">H341*1.2</f>
        <v>302.4</v>
      </c>
      <c r="AK341" s="8" t="n">
        <f aca="false">I341</f>
        <v>1</v>
      </c>
      <c r="AL341" s="8" t="n">
        <f aca="false">J341</f>
        <v>1</v>
      </c>
      <c r="AM341" s="9" t="n">
        <f aca="false">K341</f>
        <v>0.31</v>
      </c>
      <c r="AN341" s="6" t="n">
        <f aca="false">$R$2 + SUMPRODUCT(AD341:AM341,$S$2:$AB$2)</f>
        <v>-2.146697642</v>
      </c>
      <c r="AO341" s="6" t="n">
        <f aca="false">1/(1+EXP(-AN341))</f>
        <v>0.104640219454032</v>
      </c>
    </row>
    <row r="342" customFormat="false" ht="15" hidden="false" customHeight="false" outlineLevel="0" collapsed="false">
      <c r="A342" s="3" t="s">
        <v>406</v>
      </c>
      <c r="B342" s="4" t="n">
        <v>37</v>
      </c>
      <c r="C342" s="4" t="n">
        <v>63600</v>
      </c>
      <c r="D342" s="4" t="n">
        <v>10</v>
      </c>
      <c r="E342" s="5" t="n">
        <v>48.25</v>
      </c>
      <c r="F342" s="4" t="n">
        <v>4</v>
      </c>
      <c r="G342" s="5" t="n">
        <v>0.2</v>
      </c>
      <c r="H342" s="4" t="n">
        <v>183</v>
      </c>
      <c r="I342" s="4" t="n">
        <v>0</v>
      </c>
      <c r="J342" s="4" t="n">
        <v>0</v>
      </c>
      <c r="K342" s="5" t="n">
        <v>0.16</v>
      </c>
      <c r="L342" s="4" t="n">
        <v>0</v>
      </c>
      <c r="M342" s="6" t="n">
        <f aca="false">$R$2 + SUMPRODUCT(B342:K342,$S$2:$AB$2)</f>
        <v>-0.63921327</v>
      </c>
      <c r="N342" s="6" t="n">
        <f aca="false">1/(1+EXP(-M342))</f>
        <v>0.345424402430699</v>
      </c>
      <c r="O342" s="6" t="n">
        <f aca="false">IF(L342=1,N342,1-N342)</f>
        <v>0.654575597569301</v>
      </c>
      <c r="P342" s="6" t="n">
        <f aca="false">LN(O342)</f>
        <v>-0.423768195994727</v>
      </c>
      <c r="AD342" s="8" t="n">
        <f aca="false">B342</f>
        <v>37</v>
      </c>
      <c r="AE342" s="8" t="n">
        <f aca="false">C342</f>
        <v>63600</v>
      </c>
      <c r="AF342" s="8" t="n">
        <f aca="false">D342</f>
        <v>10</v>
      </c>
      <c r="AG342" s="9" t="n">
        <f aca="false">E342*0.85</f>
        <v>41.0125</v>
      </c>
      <c r="AH342" s="9" t="n">
        <f aca="false">F342*0.9</f>
        <v>3.6</v>
      </c>
      <c r="AI342" s="9" t="n">
        <f aca="false">G342</f>
        <v>0.2</v>
      </c>
      <c r="AJ342" s="9" t="n">
        <f aca="false">H342*1.2</f>
        <v>219.6</v>
      </c>
      <c r="AK342" s="8" t="n">
        <f aca="false">I342</f>
        <v>0</v>
      </c>
      <c r="AL342" s="8" t="n">
        <f aca="false">J342</f>
        <v>0</v>
      </c>
      <c r="AM342" s="9" t="n">
        <f aca="false">K342</f>
        <v>0.16</v>
      </c>
      <c r="AN342" s="6" t="n">
        <f aca="false">$R$2 + SUMPRODUCT(AD342:AM342,$S$2:$AB$2)</f>
        <v>-0.9936026075</v>
      </c>
      <c r="AO342" s="6" t="n">
        <f aca="false">1/(1+EXP(-AN342))</f>
        <v>0.270201082777735</v>
      </c>
    </row>
    <row r="343" customFormat="false" ht="15" hidden="false" customHeight="false" outlineLevel="0" collapsed="false">
      <c r="A343" s="3" t="s">
        <v>407</v>
      </c>
      <c r="B343" s="4" t="n">
        <v>25</v>
      </c>
      <c r="C343" s="4" t="n">
        <v>61000</v>
      </c>
      <c r="D343" s="4" t="n">
        <v>10</v>
      </c>
      <c r="E343" s="5" t="n">
        <v>94.29</v>
      </c>
      <c r="F343" s="4" t="n">
        <v>5</v>
      </c>
      <c r="G343" s="5" t="n">
        <v>0.86</v>
      </c>
      <c r="H343" s="4" t="n">
        <v>309</v>
      </c>
      <c r="I343" s="4" t="n">
        <v>0</v>
      </c>
      <c r="J343" s="4" t="n">
        <v>1</v>
      </c>
      <c r="K343" s="5" t="n">
        <v>0.66</v>
      </c>
      <c r="L343" s="4" t="n">
        <v>0</v>
      </c>
      <c r="M343" s="6" t="n">
        <f aca="false">$R$2 + SUMPRODUCT(B343:K343,$S$2:$AB$2)</f>
        <v>1.73766041</v>
      </c>
      <c r="N343" s="6" t="n">
        <f aca="false">1/(1+EXP(-M343))</f>
        <v>0.850389650181772</v>
      </c>
      <c r="O343" s="6" t="n">
        <f aca="false">IF(L343=1,N343,1-N343)</f>
        <v>0.149610349818228</v>
      </c>
      <c r="P343" s="6" t="n">
        <f aca="false">LN(O343)</f>
        <v>-1.89972103255789</v>
      </c>
      <c r="AD343" s="8" t="n">
        <f aca="false">B343</f>
        <v>25</v>
      </c>
      <c r="AE343" s="8" t="n">
        <f aca="false">C343</f>
        <v>61000</v>
      </c>
      <c r="AF343" s="8" t="n">
        <f aca="false">D343</f>
        <v>10</v>
      </c>
      <c r="AG343" s="9" t="n">
        <f aca="false">E343*0.85</f>
        <v>80.1465</v>
      </c>
      <c r="AH343" s="9" t="n">
        <f aca="false">F343*0.9</f>
        <v>4.5</v>
      </c>
      <c r="AI343" s="9" t="n">
        <f aca="false">G343</f>
        <v>0.86</v>
      </c>
      <c r="AJ343" s="9" t="n">
        <f aca="false">H343*1.2</f>
        <v>370.8</v>
      </c>
      <c r="AK343" s="8" t="n">
        <f aca="false">I343</f>
        <v>0</v>
      </c>
      <c r="AL343" s="8" t="n">
        <f aca="false">J343</f>
        <v>1</v>
      </c>
      <c r="AM343" s="9" t="n">
        <f aca="false">K343</f>
        <v>0.66</v>
      </c>
      <c r="AN343" s="6" t="n">
        <f aca="false">$R$2 + SUMPRODUCT(AD343:AM343,$S$2:$AB$2)</f>
        <v>1.1337948745</v>
      </c>
      <c r="AO343" s="6" t="n">
        <f aca="false">1/(1+EXP(-AN343))</f>
        <v>0.756538549627313</v>
      </c>
    </row>
    <row r="344" customFormat="false" ht="15" hidden="false" customHeight="false" outlineLevel="0" collapsed="false">
      <c r="A344" s="3" t="s">
        <v>408</v>
      </c>
      <c r="B344" s="4" t="n">
        <v>24</v>
      </c>
      <c r="C344" s="4" t="n">
        <v>73700</v>
      </c>
      <c r="D344" s="4" t="n">
        <v>7</v>
      </c>
      <c r="E344" s="5" t="n">
        <v>35.6</v>
      </c>
      <c r="F344" s="4" t="n">
        <v>3</v>
      </c>
      <c r="G344" s="5" t="n">
        <v>0.21</v>
      </c>
      <c r="H344" s="4" t="n">
        <v>306</v>
      </c>
      <c r="I344" s="4" t="n">
        <v>1</v>
      </c>
      <c r="J344" s="4" t="n">
        <v>1</v>
      </c>
      <c r="K344" s="5" t="n">
        <v>0.31</v>
      </c>
      <c r="L344" s="4" t="n">
        <v>0</v>
      </c>
      <c r="M344" s="6" t="n">
        <f aca="false">$R$2 + SUMPRODUCT(B344:K344,$S$2:$AB$2)</f>
        <v>-0.27616706</v>
      </c>
      <c r="N344" s="6" t="n">
        <f aca="false">1/(1+EXP(-M344))</f>
        <v>0.431393721774299</v>
      </c>
      <c r="O344" s="6" t="n">
        <f aca="false">IF(L344=1,N344,1-N344)</f>
        <v>0.568606278225702</v>
      </c>
      <c r="P344" s="6" t="n">
        <f aca="false">LN(O344)</f>
        <v>-0.564567038275542</v>
      </c>
      <c r="AD344" s="8" t="n">
        <f aca="false">B344</f>
        <v>24</v>
      </c>
      <c r="AE344" s="8" t="n">
        <f aca="false">C344</f>
        <v>73700</v>
      </c>
      <c r="AF344" s="8" t="n">
        <f aca="false">D344</f>
        <v>7</v>
      </c>
      <c r="AG344" s="9" t="n">
        <f aca="false">E344*0.85</f>
        <v>30.26</v>
      </c>
      <c r="AH344" s="9" t="n">
        <f aca="false">F344*0.9</f>
        <v>2.7</v>
      </c>
      <c r="AI344" s="9" t="n">
        <f aca="false">G344</f>
        <v>0.21</v>
      </c>
      <c r="AJ344" s="9" t="n">
        <f aca="false">H344*1.2</f>
        <v>367.2</v>
      </c>
      <c r="AK344" s="8" t="n">
        <f aca="false">I344</f>
        <v>1</v>
      </c>
      <c r="AL344" s="8" t="n">
        <f aca="false">J344</f>
        <v>1</v>
      </c>
      <c r="AM344" s="9" t="n">
        <f aca="false">K344</f>
        <v>0.31</v>
      </c>
      <c r="AN344" s="6" t="n">
        <f aca="false">$R$2 + SUMPRODUCT(AD344:AM344,$S$2:$AB$2)</f>
        <v>-0.735107779999999</v>
      </c>
      <c r="AO344" s="6" t="n">
        <f aca="false">1/(1+EXP(-AN344))</f>
        <v>0.324074862580119</v>
      </c>
    </row>
    <row r="345" customFormat="false" ht="15" hidden="false" customHeight="false" outlineLevel="0" collapsed="false">
      <c r="A345" s="3" t="s">
        <v>409</v>
      </c>
      <c r="B345" s="4" t="n">
        <v>20</v>
      </c>
      <c r="C345" s="4" t="n">
        <v>45800</v>
      </c>
      <c r="D345" s="4" t="n">
        <v>6</v>
      </c>
      <c r="E345" s="5" t="n">
        <v>77.19</v>
      </c>
      <c r="F345" s="4" t="n">
        <v>5</v>
      </c>
      <c r="G345" s="5" t="n">
        <v>0.21</v>
      </c>
      <c r="H345" s="4" t="n">
        <v>72</v>
      </c>
      <c r="I345" s="4" t="n">
        <v>1</v>
      </c>
      <c r="J345" s="4" t="n">
        <v>0</v>
      </c>
      <c r="K345" s="5" t="n">
        <v>0.81</v>
      </c>
      <c r="L345" s="4" t="n">
        <v>1</v>
      </c>
      <c r="M345" s="6" t="n">
        <f aca="false">$R$2 + SUMPRODUCT(B345:K345,$S$2:$AB$2)</f>
        <v>1.01773691</v>
      </c>
      <c r="N345" s="6" t="n">
        <f aca="false">1/(1+EXP(-M345))</f>
        <v>0.734531542618854</v>
      </c>
      <c r="O345" s="6" t="n">
        <f aca="false">IF(L345=1,N345,1-N345)</f>
        <v>0.734531542618854</v>
      </c>
      <c r="P345" s="6" t="n">
        <f aca="false">LN(O345)</f>
        <v>-0.308522339948756</v>
      </c>
      <c r="AD345" s="8" t="n">
        <f aca="false">B345</f>
        <v>20</v>
      </c>
      <c r="AE345" s="8" t="n">
        <f aca="false">C345</f>
        <v>45800</v>
      </c>
      <c r="AF345" s="8" t="n">
        <f aca="false">D345</f>
        <v>6</v>
      </c>
      <c r="AG345" s="9" t="n">
        <f aca="false">E345*0.85</f>
        <v>65.6115</v>
      </c>
      <c r="AH345" s="9" t="n">
        <f aca="false">F345*0.9</f>
        <v>4.5</v>
      </c>
      <c r="AI345" s="9" t="n">
        <f aca="false">G345</f>
        <v>0.21</v>
      </c>
      <c r="AJ345" s="9" t="n">
        <f aca="false">H345*1.2</f>
        <v>86.4</v>
      </c>
      <c r="AK345" s="8" t="n">
        <f aca="false">I345</f>
        <v>1</v>
      </c>
      <c r="AL345" s="8" t="n">
        <f aca="false">J345</f>
        <v>0</v>
      </c>
      <c r="AM345" s="9" t="n">
        <f aca="false">K345</f>
        <v>0.81</v>
      </c>
      <c r="AN345" s="6" t="n">
        <f aca="false">$R$2 + SUMPRODUCT(AD345:AM345,$S$2:$AB$2)</f>
        <v>0.7212562195</v>
      </c>
      <c r="AO345" s="6" t="n">
        <f aca="false">1/(1+EXP(-AN345))</f>
        <v>0.67288358516087</v>
      </c>
    </row>
    <row r="346" customFormat="false" ht="15" hidden="false" customHeight="false" outlineLevel="0" collapsed="false">
      <c r="A346" s="3" t="s">
        <v>410</v>
      </c>
      <c r="B346" s="4" t="n">
        <v>34</v>
      </c>
      <c r="C346" s="4" t="n">
        <v>50100</v>
      </c>
      <c r="D346" s="4" t="n">
        <v>6</v>
      </c>
      <c r="E346" s="5" t="n">
        <v>94.55</v>
      </c>
      <c r="F346" s="4" t="n">
        <v>5</v>
      </c>
      <c r="G346" s="5" t="n">
        <v>0.53</v>
      </c>
      <c r="H346" s="4" t="n">
        <v>219</v>
      </c>
      <c r="I346" s="4" t="n">
        <v>0</v>
      </c>
      <c r="J346" s="4" t="n">
        <v>1</v>
      </c>
      <c r="K346" s="5" t="n">
        <v>0.71</v>
      </c>
      <c r="L346" s="4" t="n">
        <v>1</v>
      </c>
      <c r="M346" s="6" t="n">
        <f aca="false">$R$2 + SUMPRODUCT(B346:K346,$S$2:$AB$2)</f>
        <v>0.66085421</v>
      </c>
      <c r="N346" s="6" t="n">
        <f aca="false">1/(1+EXP(-M346))</f>
        <v>0.659452248766165</v>
      </c>
      <c r="O346" s="6" t="n">
        <f aca="false">IF(L346=1,N346,1-N346)</f>
        <v>0.659452248766165</v>
      </c>
      <c r="P346" s="6" t="n">
        <f aca="false">LN(O346)</f>
        <v>-0.416345714652876</v>
      </c>
      <c r="AD346" s="8" t="n">
        <f aca="false">B346</f>
        <v>34</v>
      </c>
      <c r="AE346" s="8" t="n">
        <f aca="false">C346</f>
        <v>50100</v>
      </c>
      <c r="AF346" s="8" t="n">
        <f aca="false">D346</f>
        <v>6</v>
      </c>
      <c r="AG346" s="9" t="n">
        <f aca="false">E346*0.85</f>
        <v>80.3675</v>
      </c>
      <c r="AH346" s="9" t="n">
        <f aca="false">F346*0.9</f>
        <v>4.5</v>
      </c>
      <c r="AI346" s="9" t="n">
        <f aca="false">G346</f>
        <v>0.53</v>
      </c>
      <c r="AJ346" s="9" t="n">
        <f aca="false">H346*1.2</f>
        <v>262.8</v>
      </c>
      <c r="AK346" s="8" t="n">
        <f aca="false">I346</f>
        <v>0</v>
      </c>
      <c r="AL346" s="8" t="n">
        <f aca="false">J346</f>
        <v>1</v>
      </c>
      <c r="AM346" s="9" t="n">
        <f aca="false">K346</f>
        <v>0.71</v>
      </c>
      <c r="AN346" s="6" t="n">
        <f aca="false">$R$2 + SUMPRODUCT(AD346:AM346,$S$2:$AB$2)</f>
        <v>0.1601087875</v>
      </c>
      <c r="AO346" s="6" t="n">
        <f aca="false">1/(1+EXP(-AN346))</f>
        <v>0.539941907993168</v>
      </c>
    </row>
    <row r="347" customFormat="false" ht="15" hidden="false" customHeight="false" outlineLevel="0" collapsed="false">
      <c r="A347" s="3" t="s">
        <v>411</v>
      </c>
      <c r="B347" s="4" t="n">
        <v>50</v>
      </c>
      <c r="C347" s="4" t="n">
        <v>37400</v>
      </c>
      <c r="D347" s="4" t="n">
        <v>6</v>
      </c>
      <c r="E347" s="5" t="n">
        <v>77.02</v>
      </c>
      <c r="F347" s="4" t="n">
        <v>0</v>
      </c>
      <c r="G347" s="5" t="n">
        <v>0.12</v>
      </c>
      <c r="H347" s="4" t="n">
        <v>207</v>
      </c>
      <c r="I347" s="4" t="n">
        <v>1</v>
      </c>
      <c r="J347" s="4" t="n">
        <v>0</v>
      </c>
      <c r="K347" s="5" t="n">
        <v>0.66</v>
      </c>
      <c r="L347" s="4" t="n">
        <v>0</v>
      </c>
      <c r="M347" s="6" t="n">
        <f aca="false">$R$2 + SUMPRODUCT(B347:K347,$S$2:$AB$2)</f>
        <v>-1.20089904</v>
      </c>
      <c r="N347" s="6" t="n">
        <f aca="false">1/(1+EXP(-M347))</f>
        <v>0.231315320894955</v>
      </c>
      <c r="O347" s="6" t="n">
        <f aca="false">IF(L347=1,N347,1-N347)</f>
        <v>0.768684679105046</v>
      </c>
      <c r="P347" s="6" t="n">
        <f aca="false">LN(O347)</f>
        <v>-0.263074433741447</v>
      </c>
      <c r="AD347" s="8" t="n">
        <f aca="false">B347</f>
        <v>50</v>
      </c>
      <c r="AE347" s="8" t="n">
        <f aca="false">C347</f>
        <v>37400</v>
      </c>
      <c r="AF347" s="8" t="n">
        <f aca="false">D347</f>
        <v>6</v>
      </c>
      <c r="AG347" s="9" t="n">
        <f aca="false">E347*0.85</f>
        <v>65.467</v>
      </c>
      <c r="AH347" s="9" t="n">
        <f aca="false">F347*0.9</f>
        <v>0</v>
      </c>
      <c r="AI347" s="9" t="n">
        <f aca="false">G347</f>
        <v>0.12</v>
      </c>
      <c r="AJ347" s="9" t="n">
        <f aca="false">H347*1.2</f>
        <v>248.4</v>
      </c>
      <c r="AK347" s="8" t="n">
        <f aca="false">I347</f>
        <v>1</v>
      </c>
      <c r="AL347" s="8" t="n">
        <f aca="false">J347</f>
        <v>0</v>
      </c>
      <c r="AM347" s="9" t="n">
        <f aca="false">K347</f>
        <v>0.66</v>
      </c>
      <c r="AN347" s="6" t="n">
        <f aca="false">$R$2 + SUMPRODUCT(AD347:AM347,$S$2:$AB$2)</f>
        <v>-1.594471689</v>
      </c>
      <c r="AO347" s="6" t="n">
        <f aca="false">1/(1+EXP(-AN347))</f>
        <v>0.16875569142117</v>
      </c>
    </row>
    <row r="348" customFormat="false" ht="15" hidden="false" customHeight="false" outlineLevel="0" collapsed="false">
      <c r="A348" s="3" t="s">
        <v>412</v>
      </c>
      <c r="B348" s="4" t="n">
        <v>65</v>
      </c>
      <c r="C348" s="4" t="n">
        <v>47000</v>
      </c>
      <c r="D348" s="4" t="n">
        <v>8</v>
      </c>
      <c r="E348" s="5" t="n">
        <v>59.94</v>
      </c>
      <c r="F348" s="4" t="n">
        <v>5</v>
      </c>
      <c r="G348" s="5" t="n">
        <v>0.32</v>
      </c>
      <c r="H348" s="4" t="n">
        <v>173</v>
      </c>
      <c r="I348" s="4" t="n">
        <v>1</v>
      </c>
      <c r="J348" s="4" t="n">
        <v>1</v>
      </c>
      <c r="K348" s="5" t="n">
        <v>0.07</v>
      </c>
      <c r="L348" s="4" t="n">
        <v>0</v>
      </c>
      <c r="M348" s="6" t="n">
        <f aca="false">$R$2 + SUMPRODUCT(B348:K348,$S$2:$AB$2)</f>
        <v>0.05902005</v>
      </c>
      <c r="N348" s="6" t="n">
        <f aca="false">1/(1+EXP(-M348))</f>
        <v>0.514750730898655</v>
      </c>
      <c r="O348" s="6" t="n">
        <f aca="false">IF(L348=1,N348,1-N348)</f>
        <v>0.485249269101345</v>
      </c>
      <c r="P348" s="6" t="n">
        <f aca="false">LN(O348)</f>
        <v>-0.72309256316528</v>
      </c>
      <c r="AD348" s="8" t="n">
        <f aca="false">B348</f>
        <v>65</v>
      </c>
      <c r="AE348" s="8" t="n">
        <f aca="false">C348</f>
        <v>47000</v>
      </c>
      <c r="AF348" s="8" t="n">
        <f aca="false">D348</f>
        <v>8</v>
      </c>
      <c r="AG348" s="9" t="n">
        <f aca="false">E348*0.85</f>
        <v>50.949</v>
      </c>
      <c r="AH348" s="9" t="n">
        <f aca="false">F348*0.9</f>
        <v>4.5</v>
      </c>
      <c r="AI348" s="9" t="n">
        <f aca="false">G348</f>
        <v>0.32</v>
      </c>
      <c r="AJ348" s="9" t="n">
        <f aca="false">H348*1.2</f>
        <v>207.6</v>
      </c>
      <c r="AK348" s="8" t="n">
        <f aca="false">I348</f>
        <v>1</v>
      </c>
      <c r="AL348" s="8" t="n">
        <f aca="false">J348</f>
        <v>1</v>
      </c>
      <c r="AM348" s="9" t="n">
        <f aca="false">K348</f>
        <v>0.07</v>
      </c>
      <c r="AN348" s="6" t="n">
        <f aca="false">$R$2 + SUMPRODUCT(AD348:AM348,$S$2:$AB$2)</f>
        <v>-0.319014353</v>
      </c>
      <c r="AO348" s="6" t="n">
        <f aca="false">1/(1+EXP(-AN348))</f>
        <v>0.420915976341171</v>
      </c>
    </row>
    <row r="349" customFormat="false" ht="15" hidden="false" customHeight="false" outlineLevel="0" collapsed="false">
      <c r="A349" s="3" t="s">
        <v>413</v>
      </c>
      <c r="B349" s="4" t="n">
        <v>29</v>
      </c>
      <c r="C349" s="4" t="n">
        <v>61800</v>
      </c>
      <c r="D349" s="4" t="n">
        <v>4</v>
      </c>
      <c r="E349" s="5" t="n">
        <v>51.79</v>
      </c>
      <c r="F349" s="4" t="n">
        <v>2</v>
      </c>
      <c r="G349" s="5" t="n">
        <v>0.45</v>
      </c>
      <c r="H349" s="4" t="n">
        <v>141</v>
      </c>
      <c r="I349" s="4" t="n">
        <v>1</v>
      </c>
      <c r="J349" s="4" t="n">
        <v>0</v>
      </c>
      <c r="K349" s="5" t="n">
        <v>0.6</v>
      </c>
      <c r="L349" s="4" t="n">
        <v>1</v>
      </c>
      <c r="M349" s="6" t="n">
        <f aca="false">$R$2 + SUMPRODUCT(B349:K349,$S$2:$AB$2)</f>
        <v>-0.0257191799999994</v>
      </c>
      <c r="N349" s="6" t="n">
        <f aca="false">1/(1+EXP(-M349))</f>
        <v>0.493570559406265</v>
      </c>
      <c r="O349" s="6" t="n">
        <f aca="false">IF(L349=1,N349,1-N349)</f>
        <v>0.493570559406265</v>
      </c>
      <c r="P349" s="6" t="n">
        <f aca="false">LN(O349)</f>
        <v>-0.706089452808619</v>
      </c>
      <c r="AD349" s="8" t="n">
        <f aca="false">B349</f>
        <v>29</v>
      </c>
      <c r="AE349" s="8" t="n">
        <f aca="false">C349</f>
        <v>61800</v>
      </c>
      <c r="AF349" s="8" t="n">
        <f aca="false">D349</f>
        <v>4</v>
      </c>
      <c r="AG349" s="9" t="n">
        <f aca="false">E349*0.85</f>
        <v>44.0215</v>
      </c>
      <c r="AH349" s="9" t="n">
        <f aca="false">F349*0.9</f>
        <v>1.8</v>
      </c>
      <c r="AI349" s="9" t="n">
        <f aca="false">G349</f>
        <v>0.45</v>
      </c>
      <c r="AJ349" s="9" t="n">
        <f aca="false">H349*1.2</f>
        <v>169.2</v>
      </c>
      <c r="AK349" s="8" t="n">
        <f aca="false">I349</f>
        <v>1</v>
      </c>
      <c r="AL349" s="8" t="n">
        <f aca="false">J349</f>
        <v>0</v>
      </c>
      <c r="AM349" s="9" t="n">
        <f aca="false">K349</f>
        <v>0.6</v>
      </c>
      <c r="AN349" s="6" t="n">
        <f aca="false">$R$2 + SUMPRODUCT(AD349:AM349,$S$2:$AB$2)</f>
        <v>-0.3156616405</v>
      </c>
      <c r="AO349" s="6" t="n">
        <f aca="false">1/(1+EXP(-AN349))</f>
        <v>0.421733401625394</v>
      </c>
    </row>
    <row r="350" customFormat="false" ht="15" hidden="false" customHeight="false" outlineLevel="0" collapsed="false">
      <c r="A350" s="3" t="s">
        <v>414</v>
      </c>
      <c r="B350" s="4" t="n">
        <v>68</v>
      </c>
      <c r="C350" s="4" t="n">
        <v>68600</v>
      </c>
      <c r="D350" s="4" t="n">
        <v>3</v>
      </c>
      <c r="E350" s="5" t="n">
        <v>90.9</v>
      </c>
      <c r="F350" s="4" t="n">
        <v>6</v>
      </c>
      <c r="G350" s="5" t="n">
        <v>0.4</v>
      </c>
      <c r="H350" s="4" t="n">
        <v>272</v>
      </c>
      <c r="I350" s="4" t="n">
        <v>0</v>
      </c>
      <c r="J350" s="4" t="n">
        <v>1</v>
      </c>
      <c r="K350" s="5" t="n">
        <v>0.27</v>
      </c>
      <c r="L350" s="4" t="n">
        <v>0</v>
      </c>
      <c r="M350" s="6" t="n">
        <f aca="false">$R$2 + SUMPRODUCT(B350:K350,$S$2:$AB$2)</f>
        <v>-0.82699799</v>
      </c>
      <c r="N350" s="6" t="n">
        <f aca="false">1/(1+EXP(-M350))</f>
        <v>0.304280203312947</v>
      </c>
      <c r="O350" s="6" t="n">
        <f aca="false">IF(L350=1,N350,1-N350)</f>
        <v>0.695719796687053</v>
      </c>
      <c r="P350" s="6" t="n">
        <f aca="false">LN(O350)</f>
        <v>-0.362808290676096</v>
      </c>
      <c r="AD350" s="8" t="n">
        <f aca="false">B350</f>
        <v>68</v>
      </c>
      <c r="AE350" s="8" t="n">
        <f aca="false">C350</f>
        <v>68600</v>
      </c>
      <c r="AF350" s="8" t="n">
        <f aca="false">D350</f>
        <v>3</v>
      </c>
      <c r="AG350" s="9" t="n">
        <f aca="false">E350*0.85</f>
        <v>77.265</v>
      </c>
      <c r="AH350" s="9" t="n">
        <f aca="false">F350*0.9</f>
        <v>5.4</v>
      </c>
      <c r="AI350" s="9" t="n">
        <f aca="false">G350</f>
        <v>0.4</v>
      </c>
      <c r="AJ350" s="9" t="n">
        <f aca="false">H350*1.2</f>
        <v>326.4</v>
      </c>
      <c r="AK350" s="8" t="n">
        <f aca="false">I350</f>
        <v>0</v>
      </c>
      <c r="AL350" s="8" t="n">
        <f aca="false">J350</f>
        <v>1</v>
      </c>
      <c r="AM350" s="9" t="n">
        <f aca="false">K350</f>
        <v>0.27</v>
      </c>
      <c r="AN350" s="6" t="n">
        <f aca="false">$R$2 + SUMPRODUCT(AD350:AM350,$S$2:$AB$2)</f>
        <v>-1.393029945</v>
      </c>
      <c r="AO350" s="6" t="n">
        <f aca="false">1/(1+EXP(-AN350))</f>
        <v>0.198924483913999</v>
      </c>
    </row>
    <row r="351" customFormat="false" ht="15" hidden="false" customHeight="false" outlineLevel="0" collapsed="false">
      <c r="A351" s="3" t="s">
        <v>415</v>
      </c>
      <c r="B351" s="4" t="n">
        <v>39</v>
      </c>
      <c r="C351" s="4" t="n">
        <v>38400</v>
      </c>
      <c r="D351" s="4" t="n">
        <v>6</v>
      </c>
      <c r="E351" s="5" t="n">
        <v>29.43</v>
      </c>
      <c r="F351" s="4" t="n">
        <v>4</v>
      </c>
      <c r="G351" s="5" t="n">
        <v>0.73</v>
      </c>
      <c r="H351" s="4" t="n">
        <v>214</v>
      </c>
      <c r="I351" s="4" t="n">
        <v>0</v>
      </c>
      <c r="J351" s="4" t="n">
        <v>0</v>
      </c>
      <c r="K351" s="5" t="n">
        <v>0.14</v>
      </c>
      <c r="L351" s="4" t="n">
        <v>0</v>
      </c>
      <c r="M351" s="6" t="n">
        <f aca="false">$R$2 + SUMPRODUCT(B351:K351,$S$2:$AB$2)</f>
        <v>-1.57673136</v>
      </c>
      <c r="N351" s="6" t="n">
        <f aca="false">1/(1+EXP(-M351))</f>
        <v>0.171258899401446</v>
      </c>
      <c r="O351" s="6" t="n">
        <f aca="false">IF(L351=1,N351,1-N351)</f>
        <v>0.828741100598554</v>
      </c>
      <c r="P351" s="6" t="n">
        <f aca="false">LN(O351)</f>
        <v>-0.187847475882341</v>
      </c>
      <c r="AD351" s="8" t="n">
        <f aca="false">B351</f>
        <v>39</v>
      </c>
      <c r="AE351" s="8" t="n">
        <f aca="false">C351</f>
        <v>38400</v>
      </c>
      <c r="AF351" s="8" t="n">
        <f aca="false">D351</f>
        <v>6</v>
      </c>
      <c r="AG351" s="9" t="n">
        <f aca="false">E351*0.85</f>
        <v>25.0155</v>
      </c>
      <c r="AH351" s="9" t="n">
        <f aca="false">F351*0.9</f>
        <v>3.6</v>
      </c>
      <c r="AI351" s="9" t="n">
        <f aca="false">G351</f>
        <v>0.73</v>
      </c>
      <c r="AJ351" s="9" t="n">
        <f aca="false">H351*1.2</f>
        <v>256.8</v>
      </c>
      <c r="AK351" s="8" t="n">
        <f aca="false">I351</f>
        <v>0</v>
      </c>
      <c r="AL351" s="8" t="n">
        <f aca="false">J351</f>
        <v>0</v>
      </c>
      <c r="AM351" s="9" t="n">
        <f aca="false">K351</f>
        <v>0.14</v>
      </c>
      <c r="AN351" s="6" t="n">
        <f aca="false">$R$2 + SUMPRODUCT(AD351:AM351,$S$2:$AB$2)</f>
        <v>-1.9288989385</v>
      </c>
      <c r="AO351" s="6" t="n">
        <f aca="false">1/(1+EXP(-AN351))</f>
        <v>0.126872501065349</v>
      </c>
    </row>
    <row r="352" customFormat="false" ht="15" hidden="false" customHeight="false" outlineLevel="0" collapsed="false">
      <c r="A352" s="3" t="s">
        <v>416</v>
      </c>
      <c r="B352" s="4" t="n">
        <v>39</v>
      </c>
      <c r="C352" s="4" t="n">
        <v>70700</v>
      </c>
      <c r="D352" s="4" t="n">
        <v>7</v>
      </c>
      <c r="E352" s="5" t="n">
        <v>40.75</v>
      </c>
      <c r="F352" s="4" t="n">
        <v>3</v>
      </c>
      <c r="G352" s="5" t="n">
        <v>0.43</v>
      </c>
      <c r="H352" s="4" t="n">
        <v>269</v>
      </c>
      <c r="I352" s="4" t="n">
        <v>1</v>
      </c>
      <c r="J352" s="4" t="n">
        <v>1</v>
      </c>
      <c r="K352" s="5" t="n">
        <v>0.16</v>
      </c>
      <c r="L352" s="4" t="n">
        <v>1</v>
      </c>
      <c r="M352" s="6" t="n">
        <f aca="false">$R$2 + SUMPRODUCT(B352:K352,$S$2:$AB$2)</f>
        <v>-0.0435274399999992</v>
      </c>
      <c r="N352" s="6" t="n">
        <f aca="false">1/(1+EXP(-M352))</f>
        <v>0.489119857773364</v>
      </c>
      <c r="O352" s="6" t="n">
        <f aca="false">IF(L352=1,N352,1-N352)</f>
        <v>0.489119857773364</v>
      </c>
      <c r="P352" s="6" t="n">
        <f aca="false">LN(O352)</f>
        <v>-0.715147711620314</v>
      </c>
      <c r="AD352" s="8" t="n">
        <f aca="false">B352</f>
        <v>39</v>
      </c>
      <c r="AE352" s="8" t="n">
        <f aca="false">C352</f>
        <v>70700</v>
      </c>
      <c r="AF352" s="8" t="n">
        <f aca="false">D352</f>
        <v>7</v>
      </c>
      <c r="AG352" s="9" t="n">
        <f aca="false">E352*0.85</f>
        <v>34.6375</v>
      </c>
      <c r="AH352" s="9" t="n">
        <f aca="false">F352*0.9</f>
        <v>2.7</v>
      </c>
      <c r="AI352" s="9" t="n">
        <f aca="false">G352</f>
        <v>0.43</v>
      </c>
      <c r="AJ352" s="9" t="n">
        <f aca="false">H352*1.2</f>
        <v>322.8</v>
      </c>
      <c r="AK352" s="8" t="n">
        <f aca="false">I352</f>
        <v>1</v>
      </c>
      <c r="AL352" s="8" t="n">
        <f aca="false">J352</f>
        <v>1</v>
      </c>
      <c r="AM352" s="9" t="n">
        <f aca="false">K352</f>
        <v>0.16</v>
      </c>
      <c r="AN352" s="6" t="n">
        <f aca="false">$R$2 + SUMPRODUCT(AD352:AM352,$S$2:$AB$2)</f>
        <v>-0.4702359525</v>
      </c>
      <c r="AO352" s="6" t="n">
        <f aca="false">1/(1+EXP(-AN352))</f>
        <v>0.384560398337135</v>
      </c>
    </row>
    <row r="353" customFormat="false" ht="15" hidden="false" customHeight="false" outlineLevel="0" collapsed="false">
      <c r="A353" s="3" t="s">
        <v>417</v>
      </c>
      <c r="B353" s="4" t="n">
        <v>63</v>
      </c>
      <c r="C353" s="4" t="n">
        <v>79400</v>
      </c>
      <c r="D353" s="4" t="n">
        <v>7</v>
      </c>
      <c r="E353" s="5" t="n">
        <v>55.06</v>
      </c>
      <c r="F353" s="4" t="n">
        <v>5</v>
      </c>
      <c r="G353" s="5" t="n">
        <v>0.69</v>
      </c>
      <c r="H353" s="4" t="n">
        <v>20</v>
      </c>
      <c r="I353" s="4" t="n">
        <v>1</v>
      </c>
      <c r="J353" s="4" t="n">
        <v>0</v>
      </c>
      <c r="K353" s="5" t="n">
        <v>0.63</v>
      </c>
      <c r="L353" s="4" t="n">
        <v>1</v>
      </c>
      <c r="M353" s="6" t="n">
        <f aca="false">$R$2 + SUMPRODUCT(B353:K353,$S$2:$AB$2)</f>
        <v>2.07342876</v>
      </c>
      <c r="N353" s="6" t="n">
        <f aca="false">1/(1+EXP(-M353))</f>
        <v>0.888293643837639</v>
      </c>
      <c r="O353" s="6" t="n">
        <f aca="false">IF(L353=1,N353,1-N353)</f>
        <v>0.888293643837639</v>
      </c>
      <c r="P353" s="6" t="n">
        <f aca="false">LN(O353)</f>
        <v>-0.118452910655206</v>
      </c>
      <c r="AD353" s="8" t="n">
        <f aca="false">B353</f>
        <v>63</v>
      </c>
      <c r="AE353" s="8" t="n">
        <f aca="false">C353</f>
        <v>79400</v>
      </c>
      <c r="AF353" s="8" t="n">
        <f aca="false">D353</f>
        <v>7</v>
      </c>
      <c r="AG353" s="9" t="n">
        <f aca="false">E353*0.85</f>
        <v>46.801</v>
      </c>
      <c r="AH353" s="9" t="n">
        <f aca="false">F353*0.9</f>
        <v>4.5</v>
      </c>
      <c r="AI353" s="9" t="n">
        <f aca="false">G353</f>
        <v>0.69</v>
      </c>
      <c r="AJ353" s="9" t="n">
        <f aca="false">H353*1.2</f>
        <v>24</v>
      </c>
      <c r="AK353" s="8" t="n">
        <f aca="false">I353</f>
        <v>1</v>
      </c>
      <c r="AL353" s="8" t="n">
        <f aca="false">J353</f>
        <v>0</v>
      </c>
      <c r="AM353" s="9" t="n">
        <f aca="false">K353</f>
        <v>0.63</v>
      </c>
      <c r="AN353" s="6" t="n">
        <f aca="false">$R$2 + SUMPRODUCT(AD353:AM353,$S$2:$AB$2)</f>
        <v>1.881422113</v>
      </c>
      <c r="AO353" s="6" t="n">
        <f aca="false">1/(1+EXP(-AN353))</f>
        <v>0.867774387908166</v>
      </c>
    </row>
    <row r="354" customFormat="false" ht="15" hidden="false" customHeight="false" outlineLevel="0" collapsed="false">
      <c r="A354" s="3" t="s">
        <v>418</v>
      </c>
      <c r="B354" s="4" t="n">
        <v>47</v>
      </c>
      <c r="C354" s="4" t="n">
        <v>62400</v>
      </c>
      <c r="D354" s="4" t="n">
        <v>2</v>
      </c>
      <c r="E354" s="5" t="n">
        <v>95.94</v>
      </c>
      <c r="F354" s="4" t="n">
        <v>7</v>
      </c>
      <c r="G354" s="5" t="n">
        <v>0.2</v>
      </c>
      <c r="H354" s="4" t="n">
        <v>66</v>
      </c>
      <c r="I354" s="4" t="n">
        <v>0</v>
      </c>
      <c r="J354" s="4" t="n">
        <v>1</v>
      </c>
      <c r="K354" s="5" t="n">
        <v>0.76</v>
      </c>
      <c r="L354" s="4" t="n">
        <v>1</v>
      </c>
      <c r="M354" s="6" t="n">
        <f aca="false">$R$2 + SUMPRODUCT(B354:K354,$S$2:$AB$2)</f>
        <v>0.6815833</v>
      </c>
      <c r="N354" s="6" t="n">
        <f aca="false">1/(1+EXP(-M354))</f>
        <v>0.664091981897821</v>
      </c>
      <c r="O354" s="6" t="n">
        <f aca="false">IF(L354=1,N354,1-N354)</f>
        <v>0.664091981897821</v>
      </c>
      <c r="P354" s="6" t="n">
        <f aca="false">LN(O354)</f>
        <v>-0.409334612145126</v>
      </c>
      <c r="AD354" s="8" t="n">
        <f aca="false">B354</f>
        <v>47</v>
      </c>
      <c r="AE354" s="8" t="n">
        <f aca="false">C354</f>
        <v>62400</v>
      </c>
      <c r="AF354" s="8" t="n">
        <f aca="false">D354</f>
        <v>2</v>
      </c>
      <c r="AG354" s="9" t="n">
        <f aca="false">E354*0.85</f>
        <v>81.549</v>
      </c>
      <c r="AH354" s="9" t="n">
        <f aca="false">F354*0.9</f>
        <v>6.3</v>
      </c>
      <c r="AI354" s="9" t="n">
        <f aca="false">G354</f>
        <v>0.2</v>
      </c>
      <c r="AJ354" s="9" t="n">
        <f aca="false">H354*1.2</f>
        <v>79.2</v>
      </c>
      <c r="AK354" s="8" t="n">
        <f aca="false">I354</f>
        <v>0</v>
      </c>
      <c r="AL354" s="8" t="n">
        <f aca="false">J354</f>
        <v>1</v>
      </c>
      <c r="AM354" s="9" t="n">
        <f aca="false">K354</f>
        <v>0.76</v>
      </c>
      <c r="AN354" s="6" t="n">
        <f aca="false">$R$2 + SUMPRODUCT(AD354:AM354,$S$2:$AB$2)</f>
        <v>0.331019297</v>
      </c>
      <c r="AO354" s="6" t="n">
        <f aca="false">1/(1+EXP(-AN354))</f>
        <v>0.582007366815258</v>
      </c>
    </row>
    <row r="355" customFormat="false" ht="15" hidden="false" customHeight="false" outlineLevel="0" collapsed="false">
      <c r="A355" s="3" t="s">
        <v>419</v>
      </c>
      <c r="B355" s="4" t="n">
        <v>55</v>
      </c>
      <c r="C355" s="4" t="n">
        <v>88800</v>
      </c>
      <c r="D355" s="4" t="n">
        <v>6</v>
      </c>
      <c r="E355" s="5" t="n">
        <v>74.49</v>
      </c>
      <c r="F355" s="4" t="n">
        <v>4</v>
      </c>
      <c r="G355" s="5" t="n">
        <v>0.21</v>
      </c>
      <c r="H355" s="4" t="n">
        <v>303</v>
      </c>
      <c r="I355" s="4" t="n">
        <v>1</v>
      </c>
      <c r="J355" s="4" t="n">
        <v>1</v>
      </c>
      <c r="K355" s="5" t="n">
        <v>0.16</v>
      </c>
      <c r="L355" s="4" t="n">
        <v>1</v>
      </c>
      <c r="M355" s="6" t="n">
        <f aca="false">$R$2 + SUMPRODUCT(B355:K355,$S$2:$AB$2)</f>
        <v>0.00946436000000084</v>
      </c>
      <c r="N355" s="6" t="n">
        <f aca="false">1/(1+EXP(-M355))</f>
        <v>0.502366072338458</v>
      </c>
      <c r="O355" s="6" t="n">
        <f aca="false">IF(L355=1,N355,1-N355)</f>
        <v>0.502366072338458</v>
      </c>
      <c r="P355" s="6" t="n">
        <f aca="false">LN(O355)</f>
        <v>-0.688426197281932</v>
      </c>
      <c r="AD355" s="8" t="n">
        <f aca="false">B355</f>
        <v>55</v>
      </c>
      <c r="AE355" s="8" t="n">
        <f aca="false">C355</f>
        <v>88800</v>
      </c>
      <c r="AF355" s="8" t="n">
        <f aca="false">D355</f>
        <v>6</v>
      </c>
      <c r="AG355" s="9" t="n">
        <f aca="false">E355*0.85</f>
        <v>63.3165</v>
      </c>
      <c r="AH355" s="9" t="n">
        <f aca="false">F355*0.9</f>
        <v>3.6</v>
      </c>
      <c r="AI355" s="9" t="n">
        <f aca="false">G355</f>
        <v>0.21</v>
      </c>
      <c r="AJ355" s="9" t="n">
        <f aca="false">H355*1.2</f>
        <v>363.6</v>
      </c>
      <c r="AK355" s="8" t="n">
        <f aca="false">I355</f>
        <v>1</v>
      </c>
      <c r="AL355" s="8" t="n">
        <f aca="false">J355</f>
        <v>1</v>
      </c>
      <c r="AM355" s="9" t="n">
        <f aca="false">K355</f>
        <v>0.16</v>
      </c>
      <c r="AN355" s="6" t="n">
        <f aca="false">$R$2 + SUMPRODUCT(AD355:AM355,$S$2:$AB$2)</f>
        <v>-0.535989265499999</v>
      </c>
      <c r="AO355" s="6" t="n">
        <f aca="false">1/(1+EXP(-AN355))</f>
        <v>0.369121073580786</v>
      </c>
    </row>
    <row r="356" customFormat="false" ht="15" hidden="false" customHeight="false" outlineLevel="0" collapsed="false">
      <c r="A356" s="3" t="s">
        <v>420</v>
      </c>
      <c r="B356" s="4" t="n">
        <v>55</v>
      </c>
      <c r="C356" s="4" t="n">
        <v>41100</v>
      </c>
      <c r="D356" s="4" t="n">
        <v>8</v>
      </c>
      <c r="E356" s="5" t="n">
        <v>40.8</v>
      </c>
      <c r="F356" s="4" t="n">
        <v>2</v>
      </c>
      <c r="G356" s="5" t="n">
        <v>0.4</v>
      </c>
      <c r="H356" s="4" t="n">
        <v>147</v>
      </c>
      <c r="I356" s="4" t="n">
        <v>1</v>
      </c>
      <c r="J356" s="4" t="n">
        <v>0</v>
      </c>
      <c r="K356" s="5" t="n">
        <v>0.53</v>
      </c>
      <c r="L356" s="4" t="n">
        <v>1</v>
      </c>
      <c r="M356" s="6" t="n">
        <f aca="false">$R$2 + SUMPRODUCT(B356:K356,$S$2:$AB$2)</f>
        <v>-0.39011371</v>
      </c>
      <c r="N356" s="6" t="n">
        <f aca="false">1/(1+EXP(-M356))</f>
        <v>0.40368992763536</v>
      </c>
      <c r="O356" s="6" t="n">
        <f aca="false">IF(L356=1,N356,1-N356)</f>
        <v>0.40368992763536</v>
      </c>
      <c r="P356" s="6" t="n">
        <f aca="false">LN(O356)</f>
        <v>-0.907108201557465</v>
      </c>
      <c r="AD356" s="8" t="n">
        <f aca="false">B356</f>
        <v>55</v>
      </c>
      <c r="AE356" s="8" t="n">
        <f aca="false">C356</f>
        <v>41100</v>
      </c>
      <c r="AF356" s="8" t="n">
        <f aca="false">D356</f>
        <v>8</v>
      </c>
      <c r="AG356" s="9" t="n">
        <f aca="false">E356*0.85</f>
        <v>34.68</v>
      </c>
      <c r="AH356" s="9" t="n">
        <f aca="false">F356*0.9</f>
        <v>1.8</v>
      </c>
      <c r="AI356" s="9" t="n">
        <f aca="false">G356</f>
        <v>0.4</v>
      </c>
      <c r="AJ356" s="9" t="n">
        <f aca="false">H356*1.2</f>
        <v>176.4</v>
      </c>
      <c r="AK356" s="8" t="n">
        <f aca="false">I356</f>
        <v>1</v>
      </c>
      <c r="AL356" s="8" t="n">
        <f aca="false">J356</f>
        <v>0</v>
      </c>
      <c r="AM356" s="9" t="n">
        <f aca="false">K356</f>
        <v>0.53</v>
      </c>
      <c r="AN356" s="6" t="n">
        <f aca="false">$R$2 + SUMPRODUCT(AD356:AM356,$S$2:$AB$2)</f>
        <v>-0.66482147</v>
      </c>
      <c r="AO356" s="6" t="n">
        <f aca="false">1/(1+EXP(-AN356))</f>
        <v>0.339657368311084</v>
      </c>
    </row>
    <row r="357" customFormat="false" ht="15" hidden="false" customHeight="false" outlineLevel="0" collapsed="false">
      <c r="A357" s="3" t="s">
        <v>421</v>
      </c>
      <c r="B357" s="4" t="n">
        <v>62</v>
      </c>
      <c r="C357" s="4" t="n">
        <v>32600</v>
      </c>
      <c r="D357" s="4" t="n">
        <v>11</v>
      </c>
      <c r="E357" s="5" t="n">
        <v>57.24</v>
      </c>
      <c r="F357" s="4" t="n">
        <v>5</v>
      </c>
      <c r="G357" s="5" t="n">
        <v>0.45</v>
      </c>
      <c r="H357" s="4" t="n">
        <v>165</v>
      </c>
      <c r="I357" s="4" t="n">
        <v>0</v>
      </c>
      <c r="J357" s="4" t="n">
        <v>1</v>
      </c>
      <c r="K357" s="5" t="n">
        <v>0.59</v>
      </c>
      <c r="L357" s="4" t="n">
        <v>1</v>
      </c>
      <c r="M357" s="6" t="n">
        <f aca="false">$R$2 + SUMPRODUCT(B357:K357,$S$2:$AB$2)</f>
        <v>0.421404340000001</v>
      </c>
      <c r="N357" s="6" t="n">
        <f aca="false">1/(1+EXP(-M357))</f>
        <v>0.603819247208146</v>
      </c>
      <c r="O357" s="6" t="n">
        <f aca="false">IF(L357=1,N357,1-N357)</f>
        <v>0.603819247208146</v>
      </c>
      <c r="P357" s="6" t="n">
        <f aca="false">LN(O357)</f>
        <v>-0.50448038542357</v>
      </c>
      <c r="AD357" s="8" t="n">
        <f aca="false">B357</f>
        <v>62</v>
      </c>
      <c r="AE357" s="8" t="n">
        <f aca="false">C357</f>
        <v>32600</v>
      </c>
      <c r="AF357" s="8" t="n">
        <f aca="false">D357</f>
        <v>11</v>
      </c>
      <c r="AG357" s="9" t="n">
        <f aca="false">E357*0.85</f>
        <v>48.654</v>
      </c>
      <c r="AH357" s="9" t="n">
        <f aca="false">F357*0.9</f>
        <v>4.5</v>
      </c>
      <c r="AI357" s="9" t="n">
        <f aca="false">G357</f>
        <v>0.45</v>
      </c>
      <c r="AJ357" s="9" t="n">
        <f aca="false">H357*1.2</f>
        <v>198</v>
      </c>
      <c r="AK357" s="8" t="n">
        <f aca="false">I357</f>
        <v>0</v>
      </c>
      <c r="AL357" s="8" t="n">
        <f aca="false">J357</f>
        <v>1</v>
      </c>
      <c r="AM357" s="9" t="n">
        <f aca="false">K357</f>
        <v>0.59</v>
      </c>
      <c r="AN357" s="6" t="n">
        <f aca="false">$R$2 + SUMPRODUCT(AD357:AM357,$S$2:$AB$2)</f>
        <v>0.0580231020000008</v>
      </c>
      <c r="AO357" s="6" t="n">
        <f aca="false">1/(1+EXP(-AN357))</f>
        <v>0.514501707177205</v>
      </c>
    </row>
    <row r="358" customFormat="false" ht="15" hidden="false" customHeight="false" outlineLevel="0" collapsed="false">
      <c r="A358" s="3" t="s">
        <v>422</v>
      </c>
      <c r="B358" s="4" t="n">
        <v>68</v>
      </c>
      <c r="C358" s="4" t="n">
        <v>23000</v>
      </c>
      <c r="D358" s="4" t="n">
        <v>8</v>
      </c>
      <c r="E358" s="5" t="n">
        <v>49.64</v>
      </c>
      <c r="F358" s="4" t="n">
        <v>3</v>
      </c>
      <c r="G358" s="5" t="n">
        <v>0.61</v>
      </c>
      <c r="H358" s="4" t="n">
        <v>310</v>
      </c>
      <c r="I358" s="4" t="n">
        <v>1</v>
      </c>
      <c r="J358" s="4" t="n">
        <v>1</v>
      </c>
      <c r="K358" s="5" t="n">
        <v>0.74</v>
      </c>
      <c r="L358" s="4" t="n">
        <v>1</v>
      </c>
      <c r="M358" s="6" t="n">
        <f aca="false">$R$2 + SUMPRODUCT(B358:K358,$S$2:$AB$2)</f>
        <v>-0.44442415</v>
      </c>
      <c r="N358" s="6" t="n">
        <f aca="false">1/(1+EXP(-M358))</f>
        <v>0.390687289253063</v>
      </c>
      <c r="O358" s="6" t="n">
        <f aca="false">IF(L358=1,N358,1-N358)</f>
        <v>0.390687289253063</v>
      </c>
      <c r="P358" s="6" t="n">
        <f aca="false">LN(O358)</f>
        <v>-0.939847810716103</v>
      </c>
      <c r="AD358" s="8" t="n">
        <f aca="false">B358</f>
        <v>68</v>
      </c>
      <c r="AE358" s="8" t="n">
        <f aca="false">C358</f>
        <v>23000</v>
      </c>
      <c r="AF358" s="8" t="n">
        <f aca="false">D358</f>
        <v>8</v>
      </c>
      <c r="AG358" s="9" t="n">
        <f aca="false">E358*0.85</f>
        <v>42.194</v>
      </c>
      <c r="AH358" s="9" t="n">
        <f aca="false">F358*0.9</f>
        <v>2.7</v>
      </c>
      <c r="AI358" s="9" t="n">
        <f aca="false">G358</f>
        <v>0.61</v>
      </c>
      <c r="AJ358" s="9" t="n">
        <f aca="false">H358*1.2</f>
        <v>372</v>
      </c>
      <c r="AK358" s="8" t="n">
        <f aca="false">I358</f>
        <v>1</v>
      </c>
      <c r="AL358" s="8" t="n">
        <f aca="false">J358</f>
        <v>1</v>
      </c>
      <c r="AM358" s="9" t="n">
        <f aca="false">K358</f>
        <v>0.74</v>
      </c>
      <c r="AN358" s="6" t="n">
        <f aca="false">$R$2 + SUMPRODUCT(AD358:AM358,$S$2:$AB$2)</f>
        <v>-0.936261168</v>
      </c>
      <c r="AO358" s="6" t="n">
        <f aca="false">1/(1+EXP(-AN358))</f>
        <v>0.28165618751526</v>
      </c>
    </row>
    <row r="359" customFormat="false" ht="15" hidden="false" customHeight="false" outlineLevel="0" collapsed="false">
      <c r="A359" s="3" t="s">
        <v>423</v>
      </c>
      <c r="B359" s="4" t="n">
        <v>25</v>
      </c>
      <c r="C359" s="4" t="n">
        <v>81900</v>
      </c>
      <c r="D359" s="4" t="n">
        <v>9</v>
      </c>
      <c r="E359" s="5" t="n">
        <v>47.26</v>
      </c>
      <c r="F359" s="4" t="n">
        <v>0</v>
      </c>
      <c r="G359" s="5" t="n">
        <v>0.24</v>
      </c>
      <c r="H359" s="4" t="n">
        <v>6</v>
      </c>
      <c r="I359" s="4" t="n">
        <v>1</v>
      </c>
      <c r="J359" s="4" t="n">
        <v>1</v>
      </c>
      <c r="K359" s="5" t="n">
        <v>0.29</v>
      </c>
      <c r="L359" s="4" t="n">
        <v>1</v>
      </c>
      <c r="M359" s="6" t="n">
        <f aca="false">$R$2 + SUMPRODUCT(B359:K359,$S$2:$AB$2)</f>
        <v>1.84151119</v>
      </c>
      <c r="N359" s="6" t="n">
        <f aca="false">1/(1+EXP(-M359))</f>
        <v>0.863127335191219</v>
      </c>
      <c r="O359" s="6" t="n">
        <f aca="false">IF(L359=1,N359,1-N359)</f>
        <v>0.863127335191219</v>
      </c>
      <c r="P359" s="6" t="n">
        <f aca="false">LN(O359)</f>
        <v>-0.147193049314673</v>
      </c>
      <c r="AD359" s="8" t="n">
        <f aca="false">B359</f>
        <v>25</v>
      </c>
      <c r="AE359" s="8" t="n">
        <f aca="false">C359</f>
        <v>81900</v>
      </c>
      <c r="AF359" s="8" t="n">
        <f aca="false">D359</f>
        <v>9</v>
      </c>
      <c r="AG359" s="9" t="n">
        <f aca="false">E359*0.85</f>
        <v>40.171</v>
      </c>
      <c r="AH359" s="9" t="n">
        <f aca="false">F359*0.9</f>
        <v>0</v>
      </c>
      <c r="AI359" s="9" t="n">
        <f aca="false">G359</f>
        <v>0.24</v>
      </c>
      <c r="AJ359" s="9" t="n">
        <f aca="false">H359*1.2</f>
        <v>7.2</v>
      </c>
      <c r="AK359" s="8" t="n">
        <f aca="false">I359</f>
        <v>1</v>
      </c>
      <c r="AL359" s="8" t="n">
        <f aca="false">J359</f>
        <v>1</v>
      </c>
      <c r="AM359" s="9" t="n">
        <f aca="false">K359</f>
        <v>0.29</v>
      </c>
      <c r="AN359" s="6" t="n">
        <f aca="false">$R$2 + SUMPRODUCT(AD359:AM359,$S$2:$AB$2)</f>
        <v>1.739375053</v>
      </c>
      <c r="AO359" s="6" t="n">
        <f aca="false">1/(1+EXP(-AN359))</f>
        <v>0.850607668189131</v>
      </c>
    </row>
    <row r="360" customFormat="false" ht="15" hidden="false" customHeight="false" outlineLevel="0" collapsed="false">
      <c r="A360" s="3" t="s">
        <v>424</v>
      </c>
      <c r="B360" s="4" t="n">
        <v>44</v>
      </c>
      <c r="C360" s="4" t="n">
        <v>66800</v>
      </c>
      <c r="D360" s="4" t="n">
        <v>5</v>
      </c>
      <c r="E360" s="5" t="n">
        <v>89.47</v>
      </c>
      <c r="F360" s="4" t="n">
        <v>3</v>
      </c>
      <c r="G360" s="5" t="n">
        <v>0.28</v>
      </c>
      <c r="H360" s="4" t="n">
        <v>14</v>
      </c>
      <c r="I360" s="4" t="n">
        <v>0</v>
      </c>
      <c r="J360" s="4" t="n">
        <v>1</v>
      </c>
      <c r="K360" s="5" t="n">
        <v>0.09</v>
      </c>
      <c r="L360" s="4" t="n">
        <v>1</v>
      </c>
      <c r="M360" s="6" t="n">
        <f aca="false">$R$2 + SUMPRODUCT(B360:K360,$S$2:$AB$2)</f>
        <v>0.50121936</v>
      </c>
      <c r="N360" s="6" t="n">
        <f aca="false">1/(1+EXP(-M360))</f>
        <v>0.622745842510421</v>
      </c>
      <c r="O360" s="6" t="n">
        <f aca="false">IF(L360=1,N360,1-N360)</f>
        <v>0.622745842510421</v>
      </c>
      <c r="P360" s="6" t="n">
        <f aca="false">LN(O360)</f>
        <v>-0.47361680087912</v>
      </c>
      <c r="AD360" s="8" t="n">
        <f aca="false">B360</f>
        <v>44</v>
      </c>
      <c r="AE360" s="8" t="n">
        <f aca="false">C360</f>
        <v>66800</v>
      </c>
      <c r="AF360" s="8" t="n">
        <f aca="false">D360</f>
        <v>5</v>
      </c>
      <c r="AG360" s="9" t="n">
        <f aca="false">E360*0.85</f>
        <v>76.0495</v>
      </c>
      <c r="AH360" s="9" t="n">
        <f aca="false">F360*0.9</f>
        <v>2.7</v>
      </c>
      <c r="AI360" s="9" t="n">
        <f aca="false">G360</f>
        <v>0.28</v>
      </c>
      <c r="AJ360" s="9" t="n">
        <f aca="false">H360*1.2</f>
        <v>16.8</v>
      </c>
      <c r="AK360" s="8" t="n">
        <f aca="false">I360</f>
        <v>0</v>
      </c>
      <c r="AL360" s="8" t="n">
        <f aca="false">J360</f>
        <v>1</v>
      </c>
      <c r="AM360" s="9" t="n">
        <f aca="false">K360</f>
        <v>0.09</v>
      </c>
      <c r="AN360" s="6" t="n">
        <f aca="false">$R$2 + SUMPRODUCT(AD360:AM360,$S$2:$AB$2)</f>
        <v>0.270000483500001</v>
      </c>
      <c r="AO360" s="6" t="n">
        <f aca="false">1/(1+EXP(-AN360))</f>
        <v>0.567093023663996</v>
      </c>
    </row>
    <row r="361" customFormat="false" ht="15" hidden="false" customHeight="false" outlineLevel="0" collapsed="false">
      <c r="A361" s="3" t="s">
        <v>425</v>
      </c>
      <c r="B361" s="4" t="n">
        <v>44</v>
      </c>
      <c r="C361" s="4" t="n">
        <v>54000</v>
      </c>
      <c r="D361" s="4" t="n">
        <v>4</v>
      </c>
      <c r="E361" s="5" t="n">
        <v>30.71</v>
      </c>
      <c r="F361" s="4" t="n">
        <v>9</v>
      </c>
      <c r="G361" s="5" t="n">
        <v>0.75</v>
      </c>
      <c r="H361" s="4" t="n">
        <v>132</v>
      </c>
      <c r="I361" s="4" t="n">
        <v>0</v>
      </c>
      <c r="J361" s="4" t="n">
        <v>1</v>
      </c>
      <c r="K361" s="5" t="n">
        <v>0.44</v>
      </c>
      <c r="L361" s="4" t="n">
        <v>0</v>
      </c>
      <c r="M361" s="6" t="n">
        <f aca="false">$R$2 + SUMPRODUCT(B361:K361,$S$2:$AB$2)</f>
        <v>0.420484200000001</v>
      </c>
      <c r="N361" s="6" t="n">
        <f aca="false">1/(1+EXP(-M361))</f>
        <v>0.603599108864434</v>
      </c>
      <c r="O361" s="6" t="n">
        <f aca="false">IF(L361=1,N361,1-N361)</f>
        <v>0.396400891135566</v>
      </c>
      <c r="P361" s="6" t="n">
        <f aca="false">LN(O361)</f>
        <v>-0.925329228457271</v>
      </c>
      <c r="AD361" s="8" t="n">
        <f aca="false">B361</f>
        <v>44</v>
      </c>
      <c r="AE361" s="8" t="n">
        <f aca="false">C361</f>
        <v>54000</v>
      </c>
      <c r="AF361" s="8" t="n">
        <f aca="false">D361</f>
        <v>4</v>
      </c>
      <c r="AG361" s="9" t="n">
        <f aca="false">E361*0.85</f>
        <v>26.1035</v>
      </c>
      <c r="AH361" s="9" t="n">
        <f aca="false">F361*0.9</f>
        <v>8.1</v>
      </c>
      <c r="AI361" s="9" t="n">
        <f aca="false">G361</f>
        <v>0.75</v>
      </c>
      <c r="AJ361" s="9" t="n">
        <f aca="false">H361*1.2</f>
        <v>158.4</v>
      </c>
      <c r="AK361" s="8" t="n">
        <f aca="false">I361</f>
        <v>0</v>
      </c>
      <c r="AL361" s="8" t="n">
        <f aca="false">J361</f>
        <v>1</v>
      </c>
      <c r="AM361" s="9" t="n">
        <f aca="false">K361</f>
        <v>0.44</v>
      </c>
      <c r="AN361" s="6" t="n">
        <f aca="false">$R$2 + SUMPRODUCT(AD361:AM361,$S$2:$AB$2)</f>
        <v>0.1021371855</v>
      </c>
      <c r="AO361" s="6" t="n">
        <f aca="false">1/(1+EXP(-AN361))</f>
        <v>0.525512121682461</v>
      </c>
    </row>
    <row r="362" customFormat="false" ht="15" hidden="false" customHeight="false" outlineLevel="0" collapsed="false">
      <c r="A362" s="3" t="s">
        <v>426</v>
      </c>
      <c r="B362" s="4" t="n">
        <v>51</v>
      </c>
      <c r="C362" s="4" t="n">
        <v>60000</v>
      </c>
      <c r="D362" s="4" t="n">
        <v>10</v>
      </c>
      <c r="E362" s="5" t="n">
        <v>105.22</v>
      </c>
      <c r="F362" s="4" t="n">
        <v>4</v>
      </c>
      <c r="G362" s="5" t="n">
        <v>0.23</v>
      </c>
      <c r="H362" s="4" t="n">
        <v>342</v>
      </c>
      <c r="I362" s="4" t="n">
        <v>1</v>
      </c>
      <c r="J362" s="4" t="n">
        <v>1</v>
      </c>
      <c r="K362" s="5" t="n">
        <v>0.06</v>
      </c>
      <c r="L362" s="4" t="n">
        <v>0</v>
      </c>
      <c r="M362" s="6" t="n">
        <f aca="false">$R$2 + SUMPRODUCT(B362:K362,$S$2:$AB$2)</f>
        <v>0.256524570000001</v>
      </c>
      <c r="N362" s="6" t="n">
        <f aca="false">1/(1+EXP(-M362))</f>
        <v>0.563781763028729</v>
      </c>
      <c r="O362" s="6" t="n">
        <f aca="false">IF(L362=1,N362,1-N362)</f>
        <v>0.436218236971271</v>
      </c>
      <c r="P362" s="6" t="n">
        <f aca="false">LN(O362)</f>
        <v>-0.82961261735113</v>
      </c>
      <c r="AD362" s="8" t="n">
        <f aca="false">B362</f>
        <v>51</v>
      </c>
      <c r="AE362" s="8" t="n">
        <f aca="false">C362</f>
        <v>60000</v>
      </c>
      <c r="AF362" s="8" t="n">
        <f aca="false">D362</f>
        <v>10</v>
      </c>
      <c r="AG362" s="9" t="n">
        <f aca="false">E362*0.85</f>
        <v>89.437</v>
      </c>
      <c r="AH362" s="9" t="n">
        <f aca="false">F362*0.9</f>
        <v>3.6</v>
      </c>
      <c r="AI362" s="9" t="n">
        <f aca="false">G362</f>
        <v>0.23</v>
      </c>
      <c r="AJ362" s="9" t="n">
        <f aca="false">H362*1.2</f>
        <v>410.4</v>
      </c>
      <c r="AK362" s="8" t="n">
        <f aca="false">I362</f>
        <v>1</v>
      </c>
      <c r="AL362" s="8" t="n">
        <f aca="false">J362</f>
        <v>1</v>
      </c>
      <c r="AM362" s="9" t="n">
        <f aca="false">K362</f>
        <v>0.06</v>
      </c>
      <c r="AN362" s="6" t="n">
        <f aca="false">$R$2 + SUMPRODUCT(AD362:AM362,$S$2:$AB$2)</f>
        <v>-0.395760869</v>
      </c>
      <c r="AO362" s="6" t="n">
        <f aca="false">1/(1+EXP(-AN362))</f>
        <v>0.402331261402784</v>
      </c>
    </row>
    <row r="363" customFormat="false" ht="15" hidden="false" customHeight="false" outlineLevel="0" collapsed="false">
      <c r="A363" s="3" t="s">
        <v>427</v>
      </c>
      <c r="B363" s="4" t="n">
        <v>38</v>
      </c>
      <c r="C363" s="4" t="n">
        <v>34700</v>
      </c>
      <c r="D363" s="4" t="n">
        <v>5</v>
      </c>
      <c r="E363" s="5" t="n">
        <v>85.71</v>
      </c>
      <c r="F363" s="4" t="n">
        <v>5</v>
      </c>
      <c r="G363" s="5" t="n">
        <v>0.48</v>
      </c>
      <c r="H363" s="4" t="n">
        <v>243</v>
      </c>
      <c r="I363" s="4" t="n">
        <v>0</v>
      </c>
      <c r="J363" s="4" t="n">
        <v>1</v>
      </c>
      <c r="K363" s="5" t="n">
        <v>0.33</v>
      </c>
      <c r="L363" s="4" t="n">
        <v>0</v>
      </c>
      <c r="M363" s="6" t="n">
        <f aca="false">$R$2 + SUMPRODUCT(B363:K363,$S$2:$AB$2)</f>
        <v>-0.7010526</v>
      </c>
      <c r="N363" s="6" t="n">
        <f aca="false">1/(1+EXP(-M363))</f>
        <v>0.331578894191042</v>
      </c>
      <c r="O363" s="6" t="n">
        <f aca="false">IF(L363=1,N363,1-N363)</f>
        <v>0.668421105808958</v>
      </c>
      <c r="P363" s="6" t="n">
        <f aca="false">LN(O363)</f>
        <v>-0.402836906145189</v>
      </c>
      <c r="AD363" s="8" t="n">
        <f aca="false">B363</f>
        <v>38</v>
      </c>
      <c r="AE363" s="8" t="n">
        <f aca="false">C363</f>
        <v>34700</v>
      </c>
      <c r="AF363" s="8" t="n">
        <f aca="false">D363</f>
        <v>5</v>
      </c>
      <c r="AG363" s="9" t="n">
        <f aca="false">E363*0.85</f>
        <v>72.8535</v>
      </c>
      <c r="AH363" s="9" t="n">
        <f aca="false">F363*0.9</f>
        <v>4.5</v>
      </c>
      <c r="AI363" s="9" t="n">
        <f aca="false">G363</f>
        <v>0.48</v>
      </c>
      <c r="AJ363" s="9" t="n">
        <f aca="false">H363*1.2</f>
        <v>291.6</v>
      </c>
      <c r="AK363" s="8" t="n">
        <f aca="false">I363</f>
        <v>0</v>
      </c>
      <c r="AL363" s="8" t="n">
        <f aca="false">J363</f>
        <v>1</v>
      </c>
      <c r="AM363" s="9" t="n">
        <f aca="false">K363</f>
        <v>0.33</v>
      </c>
      <c r="AN363" s="6" t="n">
        <f aca="false">$R$2 + SUMPRODUCT(AD363:AM363,$S$2:$AB$2)</f>
        <v>-1.2116242645</v>
      </c>
      <c r="AO363" s="6" t="n">
        <f aca="false">1/(1+EXP(-AN363))</f>
        <v>0.229413782249408</v>
      </c>
    </row>
    <row r="364" customFormat="false" ht="15" hidden="false" customHeight="false" outlineLevel="0" collapsed="false">
      <c r="A364" s="3" t="s">
        <v>428</v>
      </c>
      <c r="B364" s="4" t="n">
        <v>47</v>
      </c>
      <c r="C364" s="4" t="n">
        <v>99000</v>
      </c>
      <c r="D364" s="4" t="n">
        <v>2</v>
      </c>
      <c r="E364" s="5" t="n">
        <v>92.27</v>
      </c>
      <c r="F364" s="4" t="n">
        <v>4</v>
      </c>
      <c r="G364" s="5" t="n">
        <v>0.44</v>
      </c>
      <c r="H364" s="4" t="n">
        <v>231</v>
      </c>
      <c r="I364" s="4" t="n">
        <v>0</v>
      </c>
      <c r="J364" s="4" t="n">
        <v>0</v>
      </c>
      <c r="K364" s="5" t="n">
        <v>0.42</v>
      </c>
      <c r="L364" s="4" t="n">
        <v>1</v>
      </c>
      <c r="M364" s="6" t="n">
        <f aca="false">$R$2 + SUMPRODUCT(B364:K364,$S$2:$AB$2)</f>
        <v>-0.44480099</v>
      </c>
      <c r="N364" s="6" t="n">
        <f aca="false">1/(1+EXP(-M364))</f>
        <v>0.390597585911738</v>
      </c>
      <c r="O364" s="6" t="n">
        <f aca="false">IF(L364=1,N364,1-N364)</f>
        <v>0.390597585911738</v>
      </c>
      <c r="P364" s="6" t="n">
        <f aca="false">LN(O364)</f>
        <v>-0.940077441020157</v>
      </c>
      <c r="AD364" s="8" t="n">
        <f aca="false">B364</f>
        <v>47</v>
      </c>
      <c r="AE364" s="8" t="n">
        <f aca="false">C364</f>
        <v>99000</v>
      </c>
      <c r="AF364" s="8" t="n">
        <f aca="false">D364</f>
        <v>2</v>
      </c>
      <c r="AG364" s="9" t="n">
        <f aca="false">E364*0.85</f>
        <v>78.4295</v>
      </c>
      <c r="AH364" s="9" t="n">
        <f aca="false">F364*0.9</f>
        <v>3.6</v>
      </c>
      <c r="AI364" s="9" t="n">
        <f aca="false">G364</f>
        <v>0.44</v>
      </c>
      <c r="AJ364" s="9" t="n">
        <f aca="false">H364*1.2</f>
        <v>277.2</v>
      </c>
      <c r="AK364" s="8" t="n">
        <f aca="false">I364</f>
        <v>0</v>
      </c>
      <c r="AL364" s="8" t="n">
        <f aca="false">J364</f>
        <v>0</v>
      </c>
      <c r="AM364" s="9" t="n">
        <f aca="false">K364</f>
        <v>0.42</v>
      </c>
      <c r="AN364" s="6" t="n">
        <f aca="false">$R$2 + SUMPRODUCT(AD364:AM364,$S$2:$AB$2)</f>
        <v>-0.9431652265</v>
      </c>
      <c r="AO364" s="6" t="n">
        <f aca="false">1/(1+EXP(-AN364))</f>
        <v>0.280261425202847</v>
      </c>
    </row>
    <row r="365" customFormat="false" ht="15" hidden="false" customHeight="false" outlineLevel="0" collapsed="false">
      <c r="A365" s="3" t="s">
        <v>429</v>
      </c>
      <c r="B365" s="4" t="n">
        <v>50</v>
      </c>
      <c r="C365" s="4" t="n">
        <v>57300</v>
      </c>
      <c r="D365" s="4" t="n">
        <v>9</v>
      </c>
      <c r="E365" s="5" t="n">
        <v>53.43</v>
      </c>
      <c r="F365" s="4" t="n">
        <v>2</v>
      </c>
      <c r="G365" s="5" t="n">
        <v>0.2</v>
      </c>
      <c r="H365" s="4" t="n">
        <v>228</v>
      </c>
      <c r="I365" s="4" t="n">
        <v>1</v>
      </c>
      <c r="J365" s="4" t="n">
        <v>1</v>
      </c>
      <c r="K365" s="5" t="n">
        <v>0.4</v>
      </c>
      <c r="L365" s="4" t="n">
        <v>1</v>
      </c>
      <c r="M365" s="6" t="n">
        <f aca="false">$R$2 + SUMPRODUCT(B365:K365,$S$2:$AB$2)</f>
        <v>0.0834685900000007</v>
      </c>
      <c r="N365" s="6" t="n">
        <f aca="false">1/(1+EXP(-M365))</f>
        <v>0.520855040807024</v>
      </c>
      <c r="O365" s="6" t="n">
        <f aca="false">IF(L365=1,N365,1-N365)</f>
        <v>0.520855040807024</v>
      </c>
      <c r="P365" s="6" t="n">
        <f aca="false">LN(O365)</f>
        <v>-0.652283508558722</v>
      </c>
      <c r="AD365" s="8" t="n">
        <f aca="false">B365</f>
        <v>50</v>
      </c>
      <c r="AE365" s="8" t="n">
        <f aca="false">C365</f>
        <v>57300</v>
      </c>
      <c r="AF365" s="8" t="n">
        <f aca="false">D365</f>
        <v>9</v>
      </c>
      <c r="AG365" s="9" t="n">
        <f aca="false">E365*0.85</f>
        <v>45.4155</v>
      </c>
      <c r="AH365" s="9" t="n">
        <f aca="false">F365*0.9</f>
        <v>1.8</v>
      </c>
      <c r="AI365" s="9" t="n">
        <f aca="false">G365</f>
        <v>0.2</v>
      </c>
      <c r="AJ365" s="9" t="n">
        <f aca="false">H365*1.2</f>
        <v>273.6</v>
      </c>
      <c r="AK365" s="8" t="n">
        <f aca="false">I365</f>
        <v>1</v>
      </c>
      <c r="AL365" s="8" t="n">
        <f aca="false">J365</f>
        <v>1</v>
      </c>
      <c r="AM365" s="9" t="n">
        <f aca="false">K365</f>
        <v>0.4</v>
      </c>
      <c r="AN365" s="6" t="n">
        <f aca="false">$R$2 + SUMPRODUCT(AD365:AM365,$S$2:$AB$2)</f>
        <v>-0.309967588499999</v>
      </c>
      <c r="AO365" s="6" t="n">
        <f aca="false">1/(1+EXP(-AN365))</f>
        <v>0.423122650167162</v>
      </c>
    </row>
    <row r="366" customFormat="false" ht="15" hidden="false" customHeight="false" outlineLevel="0" collapsed="false">
      <c r="A366" s="3" t="s">
        <v>430</v>
      </c>
      <c r="B366" s="4" t="n">
        <v>45</v>
      </c>
      <c r="C366" s="4" t="n">
        <v>57000</v>
      </c>
      <c r="D366" s="4" t="n">
        <v>8</v>
      </c>
      <c r="E366" s="5" t="n">
        <v>61.25</v>
      </c>
      <c r="F366" s="4" t="n">
        <v>3</v>
      </c>
      <c r="G366" s="5" t="n">
        <v>0.17</v>
      </c>
      <c r="H366" s="4" t="n">
        <v>162</v>
      </c>
      <c r="I366" s="4" t="n">
        <v>1</v>
      </c>
      <c r="J366" s="4" t="n">
        <v>1</v>
      </c>
      <c r="K366" s="5" t="n">
        <v>0.06</v>
      </c>
      <c r="L366" s="4" t="n">
        <v>1</v>
      </c>
      <c r="M366" s="6" t="n">
        <f aca="false">$R$2 + SUMPRODUCT(B366:K366,$S$2:$AB$2)</f>
        <v>0.1093323</v>
      </c>
      <c r="N366" s="6" t="n">
        <f aca="false">1/(1+EXP(-M366))</f>
        <v>0.527305880229572</v>
      </c>
      <c r="O366" s="6" t="n">
        <f aca="false">IF(L366=1,N366,1-N366)</f>
        <v>0.527305880229572</v>
      </c>
      <c r="P366" s="6" t="n">
        <f aca="false">LN(O366)</f>
        <v>-0.639974480925164</v>
      </c>
      <c r="AD366" s="8" t="n">
        <f aca="false">B366</f>
        <v>45</v>
      </c>
      <c r="AE366" s="8" t="n">
        <f aca="false">C366</f>
        <v>57000</v>
      </c>
      <c r="AF366" s="8" t="n">
        <f aca="false">D366</f>
        <v>8</v>
      </c>
      <c r="AG366" s="9" t="n">
        <f aca="false">E366*0.85</f>
        <v>52.0625</v>
      </c>
      <c r="AH366" s="9" t="n">
        <f aca="false">F366*0.9</f>
        <v>2.7</v>
      </c>
      <c r="AI366" s="9" t="n">
        <f aca="false">G366</f>
        <v>0.17</v>
      </c>
      <c r="AJ366" s="9" t="n">
        <f aca="false">H366*1.2</f>
        <v>194.4</v>
      </c>
      <c r="AK366" s="8" t="n">
        <f aca="false">I366</f>
        <v>1</v>
      </c>
      <c r="AL366" s="8" t="n">
        <f aca="false">J366</f>
        <v>1</v>
      </c>
      <c r="AM366" s="9" t="n">
        <f aca="false">K366</f>
        <v>0.06</v>
      </c>
      <c r="AN366" s="6" t="n">
        <f aca="false">$R$2 + SUMPRODUCT(AD366:AM366,$S$2:$AB$2)</f>
        <v>-0.2354614875</v>
      </c>
      <c r="AO366" s="6" t="n">
        <f aca="false">1/(1+EXP(-AN366))</f>
        <v>0.441405097065816</v>
      </c>
    </row>
    <row r="367" customFormat="false" ht="15" hidden="false" customHeight="false" outlineLevel="0" collapsed="false">
      <c r="A367" s="3" t="s">
        <v>431</v>
      </c>
      <c r="B367" s="4" t="n">
        <v>64</v>
      </c>
      <c r="C367" s="4" t="n">
        <v>68100</v>
      </c>
      <c r="D367" s="4" t="n">
        <v>6</v>
      </c>
      <c r="E367" s="5" t="n">
        <v>29.17</v>
      </c>
      <c r="F367" s="4" t="n">
        <v>4</v>
      </c>
      <c r="G367" s="5" t="n">
        <v>0.16</v>
      </c>
      <c r="H367" s="4" t="n">
        <v>283</v>
      </c>
      <c r="I367" s="4" t="n">
        <v>1</v>
      </c>
      <c r="J367" s="4" t="n">
        <v>0</v>
      </c>
      <c r="K367" s="5" t="n">
        <v>0.36</v>
      </c>
      <c r="L367" s="4" t="n">
        <v>0</v>
      </c>
      <c r="M367" s="6" t="n">
        <f aca="false">$R$2 + SUMPRODUCT(B367:K367,$S$2:$AB$2)</f>
        <v>-1.54818915</v>
      </c>
      <c r="N367" s="6" t="n">
        <f aca="false">1/(1+EXP(-M367))</f>
        <v>0.175347965064572</v>
      </c>
      <c r="O367" s="6" t="n">
        <f aca="false">IF(L367=1,N367,1-N367)</f>
        <v>0.824652034935428</v>
      </c>
      <c r="P367" s="6" t="n">
        <f aca="false">LN(O367)</f>
        <v>-0.192793757455748</v>
      </c>
      <c r="AD367" s="8" t="n">
        <f aca="false">B367</f>
        <v>64</v>
      </c>
      <c r="AE367" s="8" t="n">
        <f aca="false">C367</f>
        <v>68100</v>
      </c>
      <c r="AF367" s="8" t="n">
        <f aca="false">D367</f>
        <v>6</v>
      </c>
      <c r="AG367" s="9" t="n">
        <f aca="false">E367*0.85</f>
        <v>24.7945</v>
      </c>
      <c r="AH367" s="9" t="n">
        <f aca="false">F367*0.9</f>
        <v>3.6</v>
      </c>
      <c r="AI367" s="9" t="n">
        <f aca="false">G367</f>
        <v>0.16</v>
      </c>
      <c r="AJ367" s="9" t="n">
        <f aca="false">H367*1.2</f>
        <v>339.6</v>
      </c>
      <c r="AK367" s="8" t="n">
        <f aca="false">I367</f>
        <v>1</v>
      </c>
      <c r="AL367" s="8" t="n">
        <f aca="false">J367</f>
        <v>0</v>
      </c>
      <c r="AM367" s="9" t="n">
        <f aca="false">K367</f>
        <v>0.36</v>
      </c>
      <c r="AN367" s="6" t="n">
        <f aca="false">$R$2 + SUMPRODUCT(AD367:AM367,$S$2:$AB$2)</f>
        <v>-1.9792932415</v>
      </c>
      <c r="AO367" s="6" t="n">
        <f aca="false">1/(1+EXP(-AN367))</f>
        <v>0.121394198922162</v>
      </c>
    </row>
    <row r="368" customFormat="false" ht="15" hidden="false" customHeight="false" outlineLevel="0" collapsed="false">
      <c r="A368" s="3" t="s">
        <v>432</v>
      </c>
      <c r="B368" s="4" t="n">
        <v>50</v>
      </c>
      <c r="C368" s="4" t="n">
        <v>63700</v>
      </c>
      <c r="D368" s="4" t="n">
        <v>3</v>
      </c>
      <c r="E368" s="5" t="n">
        <v>51.88</v>
      </c>
      <c r="F368" s="4" t="n">
        <v>5</v>
      </c>
      <c r="G368" s="5" t="n">
        <v>0.47</v>
      </c>
      <c r="H368" s="4" t="n">
        <v>263</v>
      </c>
      <c r="I368" s="4" t="n">
        <v>1</v>
      </c>
      <c r="J368" s="4" t="n">
        <v>0</v>
      </c>
      <c r="K368" s="5" t="n">
        <v>0.24</v>
      </c>
      <c r="L368" s="4" t="n">
        <v>0</v>
      </c>
      <c r="M368" s="6" t="n">
        <f aca="false">$R$2 + SUMPRODUCT(B368:K368,$S$2:$AB$2)</f>
        <v>-1.14349567</v>
      </c>
      <c r="N368" s="6" t="n">
        <f aca="false">1/(1+EXP(-M368))</f>
        <v>0.241679130026849</v>
      </c>
      <c r="O368" s="6" t="n">
        <f aca="false">IF(L368=1,N368,1-N368)</f>
        <v>0.758320869973151</v>
      </c>
      <c r="P368" s="6" t="n">
        <f aca="false">LN(O368)</f>
        <v>-0.276648671600496</v>
      </c>
      <c r="AD368" s="8" t="n">
        <f aca="false">B368</f>
        <v>50</v>
      </c>
      <c r="AE368" s="8" t="n">
        <f aca="false">C368</f>
        <v>63700</v>
      </c>
      <c r="AF368" s="8" t="n">
        <f aca="false">D368</f>
        <v>3</v>
      </c>
      <c r="AG368" s="9" t="n">
        <f aca="false">E368*0.85</f>
        <v>44.098</v>
      </c>
      <c r="AH368" s="9" t="n">
        <f aca="false">F368*0.9</f>
        <v>4.5</v>
      </c>
      <c r="AI368" s="9" t="n">
        <f aca="false">G368</f>
        <v>0.47</v>
      </c>
      <c r="AJ368" s="9" t="n">
        <f aca="false">H368*1.2</f>
        <v>315.6</v>
      </c>
      <c r="AK368" s="8" t="n">
        <f aca="false">I368</f>
        <v>1</v>
      </c>
      <c r="AL368" s="8" t="n">
        <f aca="false">J368</f>
        <v>0</v>
      </c>
      <c r="AM368" s="9" t="n">
        <f aca="false">K368</f>
        <v>0.24</v>
      </c>
      <c r="AN368" s="6" t="n">
        <f aca="false">$R$2 + SUMPRODUCT(AD368:AM368,$S$2:$AB$2)</f>
        <v>-1.608933576</v>
      </c>
      <c r="AO368" s="6" t="n">
        <f aca="false">1/(1+EXP(-AN368))</f>
        <v>0.166736725169825</v>
      </c>
    </row>
    <row r="369" customFormat="false" ht="15" hidden="false" customHeight="false" outlineLevel="0" collapsed="false">
      <c r="A369" s="3" t="s">
        <v>433</v>
      </c>
      <c r="B369" s="4" t="n">
        <v>22</v>
      </c>
      <c r="C369" s="4" t="n">
        <v>59000</v>
      </c>
      <c r="D369" s="4" t="n">
        <v>3</v>
      </c>
      <c r="E369" s="5" t="n">
        <v>77.34</v>
      </c>
      <c r="F369" s="4" t="n">
        <v>4</v>
      </c>
      <c r="G369" s="5" t="n">
        <v>0.27</v>
      </c>
      <c r="H369" s="4" t="n">
        <v>131</v>
      </c>
      <c r="I369" s="4" t="n">
        <v>0</v>
      </c>
      <c r="J369" s="4" t="n">
        <v>1</v>
      </c>
      <c r="K369" s="5" t="n">
        <v>0.2</v>
      </c>
      <c r="L369" s="4" t="n">
        <v>0</v>
      </c>
      <c r="M369" s="6" t="n">
        <f aca="false">$R$2 + SUMPRODUCT(B369:K369,$S$2:$AB$2)</f>
        <v>-0.414237009999999</v>
      </c>
      <c r="N369" s="6" t="n">
        <f aca="false">1/(1+EXP(-M369))</f>
        <v>0.397896602113316</v>
      </c>
      <c r="O369" s="6" t="n">
        <f aca="false">IF(L369=1,N369,1-N369)</f>
        <v>0.602103397886684</v>
      </c>
      <c r="P369" s="6" t="n">
        <f aca="false">LN(O369)</f>
        <v>-0.50732609113506</v>
      </c>
      <c r="AD369" s="8" t="n">
        <f aca="false">B369</f>
        <v>22</v>
      </c>
      <c r="AE369" s="8" t="n">
        <f aca="false">C369</f>
        <v>59000</v>
      </c>
      <c r="AF369" s="8" t="n">
        <f aca="false">D369</f>
        <v>3</v>
      </c>
      <c r="AG369" s="9" t="n">
        <f aca="false">E369*0.85</f>
        <v>65.739</v>
      </c>
      <c r="AH369" s="9" t="n">
        <f aca="false">F369*0.9</f>
        <v>3.6</v>
      </c>
      <c r="AI369" s="9" t="n">
        <f aca="false">G369</f>
        <v>0.27</v>
      </c>
      <c r="AJ369" s="9" t="n">
        <f aca="false">H369*1.2</f>
        <v>157.2</v>
      </c>
      <c r="AK369" s="8" t="n">
        <f aca="false">I369</f>
        <v>0</v>
      </c>
      <c r="AL369" s="8" t="n">
        <f aca="false">J369</f>
        <v>1</v>
      </c>
      <c r="AM369" s="9" t="n">
        <f aca="false">K369</f>
        <v>0.2</v>
      </c>
      <c r="AN369" s="6" t="n">
        <f aca="false">$R$2 + SUMPRODUCT(AD369:AM369,$S$2:$AB$2)</f>
        <v>-0.767358042999999</v>
      </c>
      <c r="AO369" s="6" t="n">
        <f aca="false">1/(1+EXP(-AN369))</f>
        <v>0.317050891517368</v>
      </c>
    </row>
    <row r="370" customFormat="false" ht="15" hidden="false" customHeight="false" outlineLevel="0" collapsed="false">
      <c r="A370" s="3" t="s">
        <v>434</v>
      </c>
      <c r="B370" s="4" t="n">
        <v>65</v>
      </c>
      <c r="C370" s="4" t="n">
        <v>40800</v>
      </c>
      <c r="D370" s="4" t="n">
        <v>8</v>
      </c>
      <c r="E370" s="5" t="n">
        <v>97.4</v>
      </c>
      <c r="F370" s="4" t="n">
        <v>5</v>
      </c>
      <c r="G370" s="5" t="n">
        <v>0.27</v>
      </c>
      <c r="H370" s="4" t="n">
        <v>225</v>
      </c>
      <c r="I370" s="4" t="n">
        <v>0</v>
      </c>
      <c r="J370" s="4" t="n">
        <v>1</v>
      </c>
      <c r="K370" s="5" t="n">
        <v>0.2</v>
      </c>
      <c r="L370" s="4" t="n">
        <v>0</v>
      </c>
      <c r="M370" s="6" t="n">
        <f aca="false">$R$2 + SUMPRODUCT(B370:K370,$S$2:$AB$2)</f>
        <v>-0.539348029999999</v>
      </c>
      <c r="N370" s="6" t="n">
        <f aca="false">1/(1+EXP(-M370))</f>
        <v>0.368339260131833</v>
      </c>
      <c r="O370" s="6" t="n">
        <f aca="false">IF(L370=1,N370,1-N370)</f>
        <v>0.631660739868168</v>
      </c>
      <c r="P370" s="6" t="n">
        <f aca="false">LN(O370)</f>
        <v>-0.459402832972197</v>
      </c>
      <c r="AD370" s="8" t="n">
        <f aca="false">B370</f>
        <v>65</v>
      </c>
      <c r="AE370" s="8" t="n">
        <f aca="false">C370</f>
        <v>40800</v>
      </c>
      <c r="AF370" s="8" t="n">
        <f aca="false">D370</f>
        <v>8</v>
      </c>
      <c r="AG370" s="9" t="n">
        <f aca="false">E370*0.85</f>
        <v>82.79</v>
      </c>
      <c r="AH370" s="9" t="n">
        <f aca="false">F370*0.9</f>
        <v>4.5</v>
      </c>
      <c r="AI370" s="9" t="n">
        <f aca="false">G370</f>
        <v>0.27</v>
      </c>
      <c r="AJ370" s="9" t="n">
        <f aca="false">H370*1.2</f>
        <v>270</v>
      </c>
      <c r="AK370" s="8" t="n">
        <f aca="false">I370</f>
        <v>0</v>
      </c>
      <c r="AL370" s="8" t="n">
        <f aca="false">J370</f>
        <v>1</v>
      </c>
      <c r="AM370" s="9" t="n">
        <f aca="false">K370</f>
        <v>0.2</v>
      </c>
      <c r="AN370" s="6" t="n">
        <f aca="false">$R$2 + SUMPRODUCT(AD370:AM370,$S$2:$AB$2)</f>
        <v>-1.05274566</v>
      </c>
      <c r="AO370" s="6" t="n">
        <f aca="false">1/(1+EXP(-AN370))</f>
        <v>0.25869820738806</v>
      </c>
    </row>
    <row r="371" customFormat="false" ht="15" hidden="false" customHeight="false" outlineLevel="0" collapsed="false">
      <c r="A371" s="3" t="s">
        <v>435</v>
      </c>
      <c r="B371" s="4" t="n">
        <v>36</v>
      </c>
      <c r="C371" s="4" t="n">
        <v>63500</v>
      </c>
      <c r="D371" s="4" t="n">
        <v>4</v>
      </c>
      <c r="E371" s="5" t="n">
        <v>37.32</v>
      </c>
      <c r="F371" s="4" t="n">
        <v>4</v>
      </c>
      <c r="G371" s="5" t="n">
        <v>0.18</v>
      </c>
      <c r="H371" s="4" t="n">
        <v>258</v>
      </c>
      <c r="I371" s="4" t="n">
        <v>0</v>
      </c>
      <c r="J371" s="4" t="n">
        <v>0</v>
      </c>
      <c r="K371" s="5" t="n">
        <v>0.42</v>
      </c>
      <c r="L371" s="4" t="n">
        <v>0</v>
      </c>
      <c r="M371" s="6" t="n">
        <f aca="false">$R$2 + SUMPRODUCT(B371:K371,$S$2:$AB$2)</f>
        <v>-2.0794338</v>
      </c>
      <c r="N371" s="6" t="n">
        <f aca="false">1/(1+EXP(-M371))</f>
        <v>0.111111875723767</v>
      </c>
      <c r="O371" s="6" t="n">
        <f aca="false">IF(L371=1,N371,1-N371)</f>
        <v>0.888888124276233</v>
      </c>
      <c r="P371" s="6" t="n">
        <f aca="false">LN(O371)</f>
        <v>-0.117783895845992</v>
      </c>
      <c r="AD371" s="8" t="n">
        <f aca="false">B371</f>
        <v>36</v>
      </c>
      <c r="AE371" s="8" t="n">
        <f aca="false">C371</f>
        <v>63500</v>
      </c>
      <c r="AF371" s="8" t="n">
        <f aca="false">D371</f>
        <v>4</v>
      </c>
      <c r="AG371" s="9" t="n">
        <f aca="false">E371*0.85</f>
        <v>31.722</v>
      </c>
      <c r="AH371" s="9" t="n">
        <f aca="false">F371*0.9</f>
        <v>3.6</v>
      </c>
      <c r="AI371" s="9" t="n">
        <f aca="false">G371</f>
        <v>0.18</v>
      </c>
      <c r="AJ371" s="9" t="n">
        <f aca="false">H371*1.2</f>
        <v>309.6</v>
      </c>
      <c r="AK371" s="8" t="n">
        <f aca="false">I371</f>
        <v>0</v>
      </c>
      <c r="AL371" s="8" t="n">
        <f aca="false">J371</f>
        <v>0</v>
      </c>
      <c r="AM371" s="9" t="n">
        <f aca="false">K371</f>
        <v>0.42</v>
      </c>
      <c r="AN371" s="6" t="n">
        <f aca="false">$R$2 + SUMPRODUCT(AD371:AM371,$S$2:$AB$2)</f>
        <v>-2.498169734</v>
      </c>
      <c r="AO371" s="6" t="n">
        <f aca="false">1/(1+EXP(-AN371))</f>
        <v>0.0759865881164862</v>
      </c>
    </row>
    <row r="372" customFormat="false" ht="15" hidden="false" customHeight="false" outlineLevel="0" collapsed="false">
      <c r="A372" s="3" t="s">
        <v>436</v>
      </c>
      <c r="B372" s="4" t="n">
        <v>21</v>
      </c>
      <c r="C372" s="4" t="n">
        <v>88900</v>
      </c>
      <c r="D372" s="4" t="n">
        <v>3</v>
      </c>
      <c r="E372" s="5" t="n">
        <v>55.86</v>
      </c>
      <c r="F372" s="4" t="n">
        <v>4</v>
      </c>
      <c r="G372" s="5" t="n">
        <v>0.7</v>
      </c>
      <c r="H372" s="4" t="n">
        <v>234</v>
      </c>
      <c r="I372" s="4" t="n">
        <v>0</v>
      </c>
      <c r="J372" s="4" t="n">
        <v>1</v>
      </c>
      <c r="K372" s="5" t="n">
        <v>0.67</v>
      </c>
      <c r="L372" s="4" t="n">
        <v>1</v>
      </c>
      <c r="M372" s="6" t="n">
        <f aca="false">$R$2 + SUMPRODUCT(B372:K372,$S$2:$AB$2)</f>
        <v>0.649139190000001</v>
      </c>
      <c r="N372" s="6" t="n">
        <f aca="false">1/(1+EXP(-M372))</f>
        <v>0.656816454897915</v>
      </c>
      <c r="O372" s="6" t="n">
        <f aca="false">IF(L372=1,N372,1-N372)</f>
        <v>0.656816454897915</v>
      </c>
      <c r="P372" s="6" t="n">
        <f aca="false">LN(O372)</f>
        <v>-0.420350668024498</v>
      </c>
      <c r="AD372" s="8" t="n">
        <f aca="false">B372</f>
        <v>21</v>
      </c>
      <c r="AE372" s="8" t="n">
        <f aca="false">C372</f>
        <v>88900</v>
      </c>
      <c r="AF372" s="8" t="n">
        <f aca="false">D372</f>
        <v>3</v>
      </c>
      <c r="AG372" s="9" t="n">
        <f aca="false">E372*0.85</f>
        <v>47.481</v>
      </c>
      <c r="AH372" s="9" t="n">
        <f aca="false">F372*0.9</f>
        <v>3.6</v>
      </c>
      <c r="AI372" s="9" t="n">
        <f aca="false">G372</f>
        <v>0.7</v>
      </c>
      <c r="AJ372" s="9" t="n">
        <f aca="false">H372*1.2</f>
        <v>280.8</v>
      </c>
      <c r="AK372" s="8" t="n">
        <f aca="false">I372</f>
        <v>0</v>
      </c>
      <c r="AL372" s="8" t="n">
        <f aca="false">J372</f>
        <v>1</v>
      </c>
      <c r="AM372" s="9" t="n">
        <f aca="false">K372</f>
        <v>0.67</v>
      </c>
      <c r="AN372" s="6" t="n">
        <f aca="false">$R$2 + SUMPRODUCT(AD372:AM372,$S$2:$AB$2)</f>
        <v>0.220684483</v>
      </c>
      <c r="AO372" s="6" t="n">
        <f aca="false">1/(1+EXP(-AN372))</f>
        <v>0.554948295539261</v>
      </c>
    </row>
    <row r="373" customFormat="false" ht="15" hidden="false" customHeight="false" outlineLevel="0" collapsed="false">
      <c r="A373" s="3" t="s">
        <v>437</v>
      </c>
      <c r="B373" s="4" t="n">
        <v>52</v>
      </c>
      <c r="C373" s="4" t="n">
        <v>79200</v>
      </c>
      <c r="D373" s="4" t="n">
        <v>4</v>
      </c>
      <c r="E373" s="5" t="n">
        <v>61.22</v>
      </c>
      <c r="F373" s="4" t="n">
        <v>5</v>
      </c>
      <c r="G373" s="5" t="n">
        <v>0.54</v>
      </c>
      <c r="H373" s="4" t="n">
        <v>336</v>
      </c>
      <c r="I373" s="4" t="n">
        <v>1</v>
      </c>
      <c r="J373" s="4" t="n">
        <v>1</v>
      </c>
      <c r="K373" s="5" t="n">
        <v>0.16</v>
      </c>
      <c r="L373" s="4" t="n">
        <v>1</v>
      </c>
      <c r="M373" s="6" t="n">
        <f aca="false">$R$2 + SUMPRODUCT(B373:K373,$S$2:$AB$2)</f>
        <v>-0.261982119999999</v>
      </c>
      <c r="N373" s="6" t="n">
        <f aca="false">1/(1+EXP(-M373))</f>
        <v>0.434876521773758</v>
      </c>
      <c r="O373" s="6" t="n">
        <f aca="false">IF(L373=1,N373,1-N373)</f>
        <v>0.434876521773758</v>
      </c>
      <c r="P373" s="6" t="n">
        <f aca="false">LN(O373)</f>
        <v>-0.83269314618012</v>
      </c>
      <c r="AD373" s="8" t="n">
        <f aca="false">B373</f>
        <v>52</v>
      </c>
      <c r="AE373" s="8" t="n">
        <f aca="false">C373</f>
        <v>79200</v>
      </c>
      <c r="AF373" s="8" t="n">
        <f aca="false">D373</f>
        <v>4</v>
      </c>
      <c r="AG373" s="9" t="n">
        <f aca="false">E373*0.85</f>
        <v>52.037</v>
      </c>
      <c r="AH373" s="9" t="n">
        <f aca="false">F373*0.9</f>
        <v>4.5</v>
      </c>
      <c r="AI373" s="9" t="n">
        <f aca="false">G373</f>
        <v>0.54</v>
      </c>
      <c r="AJ373" s="9" t="n">
        <f aca="false">H373*1.2</f>
        <v>403.2</v>
      </c>
      <c r="AK373" s="8" t="n">
        <f aca="false">I373</f>
        <v>1</v>
      </c>
      <c r="AL373" s="8" t="n">
        <f aca="false">J373</f>
        <v>1</v>
      </c>
      <c r="AM373" s="9" t="n">
        <f aca="false">K373</f>
        <v>0.16</v>
      </c>
      <c r="AN373" s="6" t="n">
        <f aca="false">$R$2 + SUMPRODUCT(AD373:AM373,$S$2:$AB$2)</f>
        <v>-0.830306459</v>
      </c>
      <c r="AO373" s="6" t="n">
        <f aca="false">1/(1+EXP(-AN373))</f>
        <v>0.303580274931664</v>
      </c>
    </row>
    <row r="374" customFormat="false" ht="15" hidden="false" customHeight="false" outlineLevel="0" collapsed="false">
      <c r="A374" s="3" t="s">
        <v>438</v>
      </c>
      <c r="B374" s="4" t="n">
        <v>66</v>
      </c>
      <c r="C374" s="4" t="n">
        <v>83700</v>
      </c>
      <c r="D374" s="4" t="n">
        <v>6</v>
      </c>
      <c r="E374" s="5" t="n">
        <v>30.11</v>
      </c>
      <c r="F374" s="4" t="n">
        <v>5</v>
      </c>
      <c r="G374" s="5" t="n">
        <v>0.42</v>
      </c>
      <c r="H374" s="4" t="n">
        <v>316</v>
      </c>
      <c r="I374" s="4" t="n">
        <v>1</v>
      </c>
      <c r="J374" s="4" t="n">
        <v>1</v>
      </c>
      <c r="K374" s="5" t="n">
        <v>0.57</v>
      </c>
      <c r="L374" s="4" t="n">
        <v>1</v>
      </c>
      <c r="M374" s="6" t="n">
        <f aca="false">$R$2 + SUMPRODUCT(B374:K374,$S$2:$AB$2)</f>
        <v>0.0244342600000005</v>
      </c>
      <c r="N374" s="6" t="n">
        <f aca="false">1/(1+EXP(-M374))</f>
        <v>0.506108261100205</v>
      </c>
      <c r="O374" s="6" t="n">
        <f aca="false">IF(L374=1,N374,1-N374)</f>
        <v>0.506108261100205</v>
      </c>
      <c r="P374" s="6" t="n">
        <f aca="false">LN(O374)</f>
        <v>-0.681004677836235</v>
      </c>
      <c r="AD374" s="8" t="n">
        <f aca="false">B374</f>
        <v>66</v>
      </c>
      <c r="AE374" s="8" t="n">
        <f aca="false">C374</f>
        <v>83700</v>
      </c>
      <c r="AF374" s="8" t="n">
        <f aca="false">D374</f>
        <v>6</v>
      </c>
      <c r="AG374" s="9" t="n">
        <f aca="false">E374*0.85</f>
        <v>25.5935</v>
      </c>
      <c r="AH374" s="9" t="n">
        <f aca="false">F374*0.9</f>
        <v>4.5</v>
      </c>
      <c r="AI374" s="9" t="n">
        <f aca="false">G374</f>
        <v>0.42</v>
      </c>
      <c r="AJ374" s="9" t="n">
        <f aca="false">H374*1.2</f>
        <v>379.2</v>
      </c>
      <c r="AK374" s="8" t="n">
        <f aca="false">I374</f>
        <v>1</v>
      </c>
      <c r="AL374" s="8" t="n">
        <f aca="false">J374</f>
        <v>1</v>
      </c>
      <c r="AM374" s="9" t="n">
        <f aca="false">K374</f>
        <v>0.57</v>
      </c>
      <c r="AN374" s="6" t="n">
        <f aca="false">$R$2 + SUMPRODUCT(AD374:AM374,$S$2:$AB$2)</f>
        <v>-0.4581729845</v>
      </c>
      <c r="AO374" s="6" t="n">
        <f aca="false">1/(1+EXP(-AN374))</f>
        <v>0.387419332110584</v>
      </c>
    </row>
    <row r="375" customFormat="false" ht="15" hidden="false" customHeight="false" outlineLevel="0" collapsed="false">
      <c r="A375" s="3" t="s">
        <v>439</v>
      </c>
      <c r="B375" s="4" t="n">
        <v>34</v>
      </c>
      <c r="C375" s="4" t="n">
        <v>45800</v>
      </c>
      <c r="D375" s="4" t="n">
        <v>5</v>
      </c>
      <c r="E375" s="5" t="n">
        <v>79.78</v>
      </c>
      <c r="F375" s="4" t="n">
        <v>3</v>
      </c>
      <c r="G375" s="5" t="n">
        <v>0.27</v>
      </c>
      <c r="H375" s="4" t="n">
        <v>24</v>
      </c>
      <c r="I375" s="4" t="n">
        <v>0</v>
      </c>
      <c r="J375" s="4" t="n">
        <v>0</v>
      </c>
      <c r="K375" s="5" t="n">
        <v>0.78</v>
      </c>
      <c r="L375" s="4" t="n">
        <v>1</v>
      </c>
      <c r="M375" s="6" t="n">
        <f aca="false">$R$2 + SUMPRODUCT(B375:K375,$S$2:$AB$2)</f>
        <v>0.0861116500000003</v>
      </c>
      <c r="N375" s="6" t="n">
        <f aca="false">1/(1+EXP(-M375))</f>
        <v>0.521514619513039</v>
      </c>
      <c r="O375" s="6" t="n">
        <f aca="false">IF(L375=1,N375,1-N375)</f>
        <v>0.521514619513039</v>
      </c>
      <c r="P375" s="6" t="n">
        <f aca="false">LN(O375)</f>
        <v>-0.651017971352194</v>
      </c>
      <c r="AD375" s="8" t="n">
        <f aca="false">B375</f>
        <v>34</v>
      </c>
      <c r="AE375" s="8" t="n">
        <f aca="false">C375</f>
        <v>45800</v>
      </c>
      <c r="AF375" s="8" t="n">
        <f aca="false">D375</f>
        <v>5</v>
      </c>
      <c r="AG375" s="9" t="n">
        <f aca="false">E375*0.85</f>
        <v>67.813</v>
      </c>
      <c r="AH375" s="9" t="n">
        <f aca="false">F375*0.9</f>
        <v>2.7</v>
      </c>
      <c r="AI375" s="9" t="n">
        <f aca="false">G375</f>
        <v>0.27</v>
      </c>
      <c r="AJ375" s="9" t="n">
        <f aca="false">H375*1.2</f>
        <v>28.8</v>
      </c>
      <c r="AK375" s="8" t="n">
        <f aca="false">I375</f>
        <v>0</v>
      </c>
      <c r="AL375" s="8" t="n">
        <f aca="false">J375</f>
        <v>0</v>
      </c>
      <c r="AM375" s="9" t="n">
        <f aca="false">K375</f>
        <v>0.78</v>
      </c>
      <c r="AN375" s="6" t="n">
        <f aca="false">$R$2 + SUMPRODUCT(AD375:AM375,$S$2:$AB$2)</f>
        <v>-0.137098361</v>
      </c>
      <c r="AO375" s="6" t="n">
        <f aca="false">1/(1+EXP(-AN375))</f>
        <v>0.465778994355468</v>
      </c>
    </row>
    <row r="376" customFormat="false" ht="15" hidden="false" customHeight="false" outlineLevel="0" collapsed="false">
      <c r="A376" s="3" t="s">
        <v>440</v>
      </c>
      <c r="B376" s="4" t="n">
        <v>61</v>
      </c>
      <c r="C376" s="4" t="n">
        <v>37200</v>
      </c>
      <c r="D376" s="4" t="n">
        <v>7</v>
      </c>
      <c r="E376" s="5" t="n">
        <v>46.9</v>
      </c>
      <c r="F376" s="4" t="n">
        <v>3</v>
      </c>
      <c r="G376" s="5" t="n">
        <v>0.37</v>
      </c>
      <c r="H376" s="4" t="n">
        <v>271</v>
      </c>
      <c r="I376" s="4" t="n">
        <v>0</v>
      </c>
      <c r="J376" s="4" t="n">
        <v>1</v>
      </c>
      <c r="K376" s="5" t="n">
        <v>0.13</v>
      </c>
      <c r="L376" s="4" t="n">
        <v>0</v>
      </c>
      <c r="M376" s="6" t="n">
        <f aca="false">$R$2 + SUMPRODUCT(B376:K376,$S$2:$AB$2)</f>
        <v>-1.85502074</v>
      </c>
      <c r="N376" s="6" t="n">
        <f aca="false">1/(1+EXP(-M376))</f>
        <v>0.135284481600981</v>
      </c>
      <c r="O376" s="6" t="n">
        <f aca="false">IF(L376=1,N376,1-N376)</f>
        <v>0.864715518399019</v>
      </c>
      <c r="P376" s="6" t="n">
        <f aca="false">LN(O376)</f>
        <v>-0.145354706606859</v>
      </c>
      <c r="AD376" s="8" t="n">
        <f aca="false">B376</f>
        <v>61</v>
      </c>
      <c r="AE376" s="8" t="n">
        <f aca="false">C376</f>
        <v>37200</v>
      </c>
      <c r="AF376" s="8" t="n">
        <f aca="false">D376</f>
        <v>7</v>
      </c>
      <c r="AG376" s="9" t="n">
        <f aca="false">E376*0.85</f>
        <v>39.865</v>
      </c>
      <c r="AH376" s="9" t="n">
        <f aca="false">F376*0.9</f>
        <v>2.7</v>
      </c>
      <c r="AI376" s="9" t="n">
        <f aca="false">G376</f>
        <v>0.37</v>
      </c>
      <c r="AJ376" s="9" t="n">
        <f aca="false">H376*1.2</f>
        <v>325.2</v>
      </c>
      <c r="AK376" s="8" t="n">
        <f aca="false">I376</f>
        <v>0</v>
      </c>
      <c r="AL376" s="8" t="n">
        <f aca="false">J376</f>
        <v>1</v>
      </c>
      <c r="AM376" s="9" t="n">
        <f aca="false">K376</f>
        <v>0.13</v>
      </c>
      <c r="AN376" s="6" t="n">
        <f aca="false">$R$2 + SUMPRODUCT(AD376:AM376,$S$2:$AB$2)</f>
        <v>-2.296424395</v>
      </c>
      <c r="AO376" s="6" t="n">
        <f aca="false">1/(1+EXP(-AN376))</f>
        <v>0.0914195243271811</v>
      </c>
    </row>
    <row r="377" customFormat="false" ht="15" hidden="false" customHeight="false" outlineLevel="0" collapsed="false">
      <c r="A377" s="3" t="s">
        <v>441</v>
      </c>
      <c r="B377" s="4" t="n">
        <v>45</v>
      </c>
      <c r="C377" s="4" t="n">
        <v>52700</v>
      </c>
      <c r="D377" s="4" t="n">
        <v>10</v>
      </c>
      <c r="E377" s="5" t="n">
        <v>60.12</v>
      </c>
      <c r="F377" s="4" t="n">
        <v>2</v>
      </c>
      <c r="G377" s="5" t="n">
        <v>0.67</v>
      </c>
      <c r="H377" s="4" t="n">
        <v>95</v>
      </c>
      <c r="I377" s="4" t="n">
        <v>0</v>
      </c>
      <c r="J377" s="4" t="n">
        <v>0</v>
      </c>
      <c r="K377" s="5" t="n">
        <v>0.1</v>
      </c>
      <c r="L377" s="4" t="n">
        <v>1</v>
      </c>
      <c r="M377" s="6" t="n">
        <f aca="false">$R$2 + SUMPRODUCT(B377:K377,$S$2:$AB$2)</f>
        <v>0.15967983</v>
      </c>
      <c r="N377" s="6" t="n">
        <f aca="false">1/(1+EXP(-M377))</f>
        <v>0.539835351134051</v>
      </c>
      <c r="O377" s="6" t="n">
        <f aca="false">IF(L377=1,N377,1-N377)</f>
        <v>0.539835351134051</v>
      </c>
      <c r="P377" s="6" t="n">
        <f aca="false">LN(O377)</f>
        <v>-0.616491091224205</v>
      </c>
      <c r="AD377" s="8" t="n">
        <f aca="false">B377</f>
        <v>45</v>
      </c>
      <c r="AE377" s="8" t="n">
        <f aca="false">C377</f>
        <v>52700</v>
      </c>
      <c r="AF377" s="8" t="n">
        <f aca="false">D377</f>
        <v>10</v>
      </c>
      <c r="AG377" s="9" t="n">
        <f aca="false">E377*0.85</f>
        <v>51.102</v>
      </c>
      <c r="AH377" s="9" t="n">
        <f aca="false">F377*0.9</f>
        <v>1.8</v>
      </c>
      <c r="AI377" s="9" t="n">
        <f aca="false">G377</f>
        <v>0.67</v>
      </c>
      <c r="AJ377" s="9" t="n">
        <f aca="false">H377*1.2</f>
        <v>114</v>
      </c>
      <c r="AK377" s="8" t="n">
        <f aca="false">I377</f>
        <v>0</v>
      </c>
      <c r="AL377" s="8" t="n">
        <f aca="false">J377</f>
        <v>0</v>
      </c>
      <c r="AM377" s="9" t="n">
        <f aca="false">K377</f>
        <v>0.1</v>
      </c>
      <c r="AN377" s="6" t="n">
        <f aca="false">$R$2 + SUMPRODUCT(AD377:AM377,$S$2:$AB$2)</f>
        <v>-0.0940735639999994</v>
      </c>
      <c r="AO377" s="6" t="n">
        <f aca="false">1/(1+EXP(-AN377))</f>
        <v>0.476498938154999</v>
      </c>
    </row>
    <row r="378" customFormat="false" ht="15" hidden="false" customHeight="false" outlineLevel="0" collapsed="false">
      <c r="A378" s="3" t="s">
        <v>442</v>
      </c>
      <c r="B378" s="4" t="n">
        <v>47</v>
      </c>
      <c r="C378" s="4" t="n">
        <v>56000</v>
      </c>
      <c r="D378" s="4" t="n">
        <v>8</v>
      </c>
      <c r="E378" s="5" t="n">
        <v>53.7</v>
      </c>
      <c r="F378" s="4" t="n">
        <v>1</v>
      </c>
      <c r="G378" s="5" t="n">
        <v>0.57</v>
      </c>
      <c r="H378" s="4" t="n">
        <v>142</v>
      </c>
      <c r="I378" s="4" t="n">
        <v>0</v>
      </c>
      <c r="J378" s="4" t="n">
        <v>0</v>
      </c>
      <c r="K378" s="5" t="n">
        <v>0.42</v>
      </c>
      <c r="L378" s="4" t="n">
        <v>0</v>
      </c>
      <c r="M378" s="6" t="n">
        <f aca="false">$R$2 + SUMPRODUCT(B378:K378,$S$2:$AB$2)</f>
        <v>-0.43889357</v>
      </c>
      <c r="N378" s="6" t="n">
        <f aca="false">1/(1+EXP(-M378))</f>
        <v>0.392004640930228</v>
      </c>
      <c r="O378" s="6" t="n">
        <f aca="false">IF(L378=1,N378,1-N378)</f>
        <v>0.607995359069772</v>
      </c>
      <c r="P378" s="6" t="n">
        <f aca="false">LN(O378)</f>
        <v>-0.497588030154031</v>
      </c>
      <c r="AD378" s="8" t="n">
        <f aca="false">B378</f>
        <v>47</v>
      </c>
      <c r="AE378" s="8" t="n">
        <f aca="false">C378</f>
        <v>56000</v>
      </c>
      <c r="AF378" s="8" t="n">
        <f aca="false">D378</f>
        <v>8</v>
      </c>
      <c r="AG378" s="9" t="n">
        <f aca="false">E378*0.85</f>
        <v>45.645</v>
      </c>
      <c r="AH378" s="9" t="n">
        <f aca="false">F378*0.9</f>
        <v>0.9</v>
      </c>
      <c r="AI378" s="9" t="n">
        <f aca="false">G378</f>
        <v>0.57</v>
      </c>
      <c r="AJ378" s="9" t="n">
        <f aca="false">H378*1.2</f>
        <v>170.4</v>
      </c>
      <c r="AK378" s="8" t="n">
        <f aca="false">I378</f>
        <v>0</v>
      </c>
      <c r="AL378" s="8" t="n">
        <f aca="false">J378</f>
        <v>0</v>
      </c>
      <c r="AM378" s="9" t="n">
        <f aca="false">K378</f>
        <v>0.42</v>
      </c>
      <c r="AN378" s="6" t="n">
        <f aca="false">$R$2 + SUMPRODUCT(AD378:AM378,$S$2:$AB$2)</f>
        <v>-0.722229885</v>
      </c>
      <c r="AO378" s="6" t="n">
        <f aca="false">1/(1+EXP(-AN378))</f>
        <v>0.326902136179905</v>
      </c>
    </row>
    <row r="379" customFormat="false" ht="15" hidden="false" customHeight="false" outlineLevel="0" collapsed="false">
      <c r="A379" s="3" t="s">
        <v>443</v>
      </c>
      <c r="B379" s="4" t="n">
        <v>46</v>
      </c>
      <c r="C379" s="4" t="n">
        <v>74700</v>
      </c>
      <c r="D379" s="4" t="n">
        <v>7</v>
      </c>
      <c r="E379" s="5" t="n">
        <v>45.27</v>
      </c>
      <c r="F379" s="4" t="n">
        <v>6</v>
      </c>
      <c r="G379" s="5" t="n">
        <v>0.67</v>
      </c>
      <c r="H379" s="4" t="n">
        <v>182</v>
      </c>
      <c r="I379" s="4" t="n">
        <v>0</v>
      </c>
      <c r="J379" s="4" t="n">
        <v>1</v>
      </c>
      <c r="K379" s="5" t="n">
        <v>0.34</v>
      </c>
      <c r="L379" s="4" t="n">
        <v>1</v>
      </c>
      <c r="M379" s="6" t="n">
        <f aca="false">$R$2 + SUMPRODUCT(B379:K379,$S$2:$AB$2)</f>
        <v>0.753963700000001</v>
      </c>
      <c r="N379" s="6" t="n">
        <f aca="false">1/(1+EXP(-M379))</f>
        <v>0.680041755480472</v>
      </c>
      <c r="O379" s="6" t="n">
        <f aca="false">IF(L379=1,N379,1-N379)</f>
        <v>0.680041755480472</v>
      </c>
      <c r="P379" s="6" t="n">
        <f aca="false">LN(O379)</f>
        <v>-0.385601077578861</v>
      </c>
      <c r="AD379" s="8" t="n">
        <f aca="false">B379</f>
        <v>46</v>
      </c>
      <c r="AE379" s="8" t="n">
        <f aca="false">C379</f>
        <v>74700</v>
      </c>
      <c r="AF379" s="8" t="n">
        <f aca="false">D379</f>
        <v>7</v>
      </c>
      <c r="AG379" s="9" t="n">
        <f aca="false">E379*0.85</f>
        <v>38.4795</v>
      </c>
      <c r="AH379" s="9" t="n">
        <f aca="false">F379*0.9</f>
        <v>5.4</v>
      </c>
      <c r="AI379" s="9" t="n">
        <f aca="false">G379</f>
        <v>0.67</v>
      </c>
      <c r="AJ379" s="9" t="n">
        <f aca="false">H379*1.2</f>
        <v>218.4</v>
      </c>
      <c r="AK379" s="8" t="n">
        <f aca="false">I379</f>
        <v>0</v>
      </c>
      <c r="AL379" s="8" t="n">
        <f aca="false">J379</f>
        <v>1</v>
      </c>
      <c r="AM379" s="9" t="n">
        <f aca="false">K379</f>
        <v>0.34</v>
      </c>
      <c r="AN379" s="6" t="n">
        <f aca="false">$R$2 + SUMPRODUCT(AD379:AM379,$S$2:$AB$2)</f>
        <v>0.3835179135</v>
      </c>
      <c r="AO379" s="6" t="n">
        <f aca="false">1/(1+EXP(-AN379))</f>
        <v>0.594721299913268</v>
      </c>
    </row>
    <row r="380" customFormat="false" ht="15" hidden="false" customHeight="false" outlineLevel="0" collapsed="false">
      <c r="A380" s="3" t="s">
        <v>444</v>
      </c>
      <c r="B380" s="4" t="n">
        <v>63</v>
      </c>
      <c r="C380" s="4" t="n">
        <v>24500</v>
      </c>
      <c r="D380" s="4" t="n">
        <v>5</v>
      </c>
      <c r="E380" s="5" t="n">
        <v>64.82</v>
      </c>
      <c r="F380" s="4" t="n">
        <v>3</v>
      </c>
      <c r="G380" s="5" t="n">
        <v>0.39</v>
      </c>
      <c r="H380" s="4" t="n">
        <v>206</v>
      </c>
      <c r="I380" s="4" t="n">
        <v>0</v>
      </c>
      <c r="J380" s="4" t="n">
        <v>0</v>
      </c>
      <c r="K380" s="5" t="n">
        <v>0.18</v>
      </c>
      <c r="L380" s="4" t="n">
        <v>0</v>
      </c>
      <c r="M380" s="6" t="n">
        <f aca="false">$R$2 + SUMPRODUCT(B380:K380,$S$2:$AB$2)</f>
        <v>-2.47270431</v>
      </c>
      <c r="N380" s="6" t="n">
        <f aca="false">1/(1+EXP(-M380))</f>
        <v>0.0777940006130041</v>
      </c>
      <c r="O380" s="6" t="n">
        <f aca="false">IF(L380=1,N380,1-N380)</f>
        <v>0.922205999386996</v>
      </c>
      <c r="P380" s="6" t="n">
        <f aca="false">LN(O380)</f>
        <v>-0.08098665371454</v>
      </c>
      <c r="AD380" s="8" t="n">
        <f aca="false">B380</f>
        <v>63</v>
      </c>
      <c r="AE380" s="8" t="n">
        <f aca="false">C380</f>
        <v>24500</v>
      </c>
      <c r="AF380" s="8" t="n">
        <f aca="false">D380</f>
        <v>5</v>
      </c>
      <c r="AG380" s="9" t="n">
        <f aca="false">E380*0.85</f>
        <v>55.097</v>
      </c>
      <c r="AH380" s="9" t="n">
        <f aca="false">F380*0.9</f>
        <v>2.7</v>
      </c>
      <c r="AI380" s="9" t="n">
        <f aca="false">G380</f>
        <v>0.39</v>
      </c>
      <c r="AJ380" s="9" t="n">
        <f aca="false">H380*1.2</f>
        <v>247.2</v>
      </c>
      <c r="AK380" s="8" t="n">
        <f aca="false">I380</f>
        <v>0</v>
      </c>
      <c r="AL380" s="8" t="n">
        <f aca="false">J380</f>
        <v>0</v>
      </c>
      <c r="AM380" s="9" t="n">
        <f aca="false">K380</f>
        <v>0.18</v>
      </c>
      <c r="AN380" s="6" t="n">
        <f aca="false">$R$2 + SUMPRODUCT(AD380:AM380,$S$2:$AB$2)</f>
        <v>-2.875361869</v>
      </c>
      <c r="AO380" s="6" t="n">
        <f aca="false">1/(1+EXP(-AN380))</f>
        <v>0.053385039766174</v>
      </c>
    </row>
    <row r="381" customFormat="false" ht="15" hidden="false" customHeight="false" outlineLevel="0" collapsed="false">
      <c r="A381" s="3" t="s">
        <v>445</v>
      </c>
      <c r="B381" s="4" t="n">
        <v>23</v>
      </c>
      <c r="C381" s="4" t="n">
        <v>82500</v>
      </c>
      <c r="D381" s="4" t="n">
        <v>5</v>
      </c>
      <c r="E381" s="5" t="n">
        <v>59.61</v>
      </c>
      <c r="F381" s="4" t="n">
        <v>3</v>
      </c>
      <c r="G381" s="5" t="n">
        <v>0.35</v>
      </c>
      <c r="H381" s="4" t="n">
        <v>81</v>
      </c>
      <c r="I381" s="4" t="n">
        <v>1</v>
      </c>
      <c r="J381" s="4" t="n">
        <v>1</v>
      </c>
      <c r="K381" s="5" t="n">
        <v>0.02</v>
      </c>
      <c r="L381" s="4" t="n">
        <v>1</v>
      </c>
      <c r="M381" s="6" t="n">
        <f aca="false">$R$2 + SUMPRODUCT(B381:K381,$S$2:$AB$2)</f>
        <v>1.07853464</v>
      </c>
      <c r="N381" s="6" t="n">
        <f aca="false">1/(1+EXP(-M381))</f>
        <v>0.746216577411749</v>
      </c>
      <c r="O381" s="6" t="n">
        <f aca="false">IF(L381=1,N381,1-N381)</f>
        <v>0.746216577411749</v>
      </c>
      <c r="P381" s="6" t="n">
        <f aca="false">LN(O381)</f>
        <v>-0.292739402666251</v>
      </c>
      <c r="AD381" s="8" t="n">
        <f aca="false">B381</f>
        <v>23</v>
      </c>
      <c r="AE381" s="8" t="n">
        <f aca="false">C381</f>
        <v>82500</v>
      </c>
      <c r="AF381" s="8" t="n">
        <f aca="false">D381</f>
        <v>5</v>
      </c>
      <c r="AG381" s="9" t="n">
        <f aca="false">E381*0.85</f>
        <v>50.6685</v>
      </c>
      <c r="AH381" s="9" t="n">
        <f aca="false">F381*0.9</f>
        <v>2.7</v>
      </c>
      <c r="AI381" s="9" t="n">
        <f aca="false">G381</f>
        <v>0.35</v>
      </c>
      <c r="AJ381" s="9" t="n">
        <f aca="false">H381*1.2</f>
        <v>97.2</v>
      </c>
      <c r="AK381" s="8" t="n">
        <f aca="false">I381</f>
        <v>1</v>
      </c>
      <c r="AL381" s="8" t="n">
        <f aca="false">J381</f>
        <v>1</v>
      </c>
      <c r="AM381" s="9" t="n">
        <f aca="false">K381</f>
        <v>0.02</v>
      </c>
      <c r="AN381" s="6" t="n">
        <f aca="false">$R$2 + SUMPRODUCT(AD381:AM381,$S$2:$AB$2)</f>
        <v>0.8303249705</v>
      </c>
      <c r="AO381" s="6" t="n">
        <f aca="false">1/(1+EXP(-AN381))</f>
        <v>0.696423638742322</v>
      </c>
    </row>
    <row r="382" customFormat="false" ht="15" hidden="false" customHeight="false" outlineLevel="0" collapsed="false">
      <c r="A382" s="3" t="s">
        <v>446</v>
      </c>
      <c r="B382" s="4" t="n">
        <v>52</v>
      </c>
      <c r="C382" s="4" t="n">
        <v>52200</v>
      </c>
      <c r="D382" s="4" t="n">
        <v>6</v>
      </c>
      <c r="E382" s="5" t="n">
        <v>55.7</v>
      </c>
      <c r="F382" s="4" t="n">
        <v>3</v>
      </c>
      <c r="G382" s="5" t="n">
        <v>0.74</v>
      </c>
      <c r="H382" s="4" t="n">
        <v>274</v>
      </c>
      <c r="I382" s="4" t="n">
        <v>0</v>
      </c>
      <c r="J382" s="4" t="n">
        <v>0</v>
      </c>
      <c r="K382" s="5" t="n">
        <v>0.67</v>
      </c>
      <c r="L382" s="4" t="n">
        <v>0</v>
      </c>
      <c r="M382" s="6" t="n">
        <f aca="false">$R$2 + SUMPRODUCT(B382:K382,$S$2:$AB$2)</f>
        <v>-0.89737225</v>
      </c>
      <c r="N382" s="6" t="n">
        <f aca="false">1/(1+EXP(-M382))</f>
        <v>0.289590799998644</v>
      </c>
      <c r="O382" s="6" t="n">
        <f aca="false">IF(L382=1,N382,1-N382)</f>
        <v>0.710409200001356</v>
      </c>
      <c r="P382" s="6" t="n">
        <f aca="false">LN(O382)</f>
        <v>-0.341914136935673</v>
      </c>
      <c r="AD382" s="8" t="n">
        <f aca="false">B382</f>
        <v>52</v>
      </c>
      <c r="AE382" s="8" t="n">
        <f aca="false">C382</f>
        <v>52200</v>
      </c>
      <c r="AF382" s="8" t="n">
        <f aca="false">D382</f>
        <v>6</v>
      </c>
      <c r="AG382" s="9" t="n">
        <f aca="false">E382*0.85</f>
        <v>47.345</v>
      </c>
      <c r="AH382" s="9" t="n">
        <f aca="false">F382*0.9</f>
        <v>2.7</v>
      </c>
      <c r="AI382" s="9" t="n">
        <f aca="false">G382</f>
        <v>0.74</v>
      </c>
      <c r="AJ382" s="9" t="n">
        <f aca="false">H382*1.2</f>
        <v>328.8</v>
      </c>
      <c r="AK382" s="8" t="n">
        <f aca="false">I382</f>
        <v>0</v>
      </c>
      <c r="AL382" s="8" t="n">
        <f aca="false">J382</f>
        <v>0</v>
      </c>
      <c r="AM382" s="9" t="n">
        <f aca="false">K382</f>
        <v>0.67</v>
      </c>
      <c r="AN382" s="6" t="n">
        <f aca="false">$R$2 + SUMPRODUCT(AD382:AM382,$S$2:$AB$2)</f>
        <v>-1.359962265</v>
      </c>
      <c r="AO382" s="6" t="n">
        <f aca="false">1/(1+EXP(-AN382))</f>
        <v>0.204246435278741</v>
      </c>
    </row>
    <row r="383" customFormat="false" ht="15" hidden="false" customHeight="false" outlineLevel="0" collapsed="false">
      <c r="A383" s="3" t="s">
        <v>447</v>
      </c>
      <c r="B383" s="4" t="n">
        <v>58</v>
      </c>
      <c r="C383" s="4" t="n">
        <v>47300</v>
      </c>
      <c r="D383" s="4" t="n">
        <v>6</v>
      </c>
      <c r="E383" s="5" t="n">
        <v>46.79</v>
      </c>
      <c r="F383" s="4" t="n">
        <v>5</v>
      </c>
      <c r="G383" s="5" t="n">
        <v>0.3</v>
      </c>
      <c r="H383" s="4" t="n">
        <v>276</v>
      </c>
      <c r="I383" s="4" t="n">
        <v>0</v>
      </c>
      <c r="J383" s="4" t="n">
        <v>1</v>
      </c>
      <c r="K383" s="5" t="n">
        <v>0.48</v>
      </c>
      <c r="L383" s="4" t="n">
        <v>1</v>
      </c>
      <c r="M383" s="6" t="n">
        <f aca="false">$R$2 + SUMPRODUCT(B383:K383,$S$2:$AB$2)</f>
        <v>-1.29200979</v>
      </c>
      <c r="N383" s="6" t="n">
        <f aca="false">1/(1+EXP(-M383))</f>
        <v>0.215512827284619</v>
      </c>
      <c r="O383" s="6" t="n">
        <f aca="false">IF(L383=1,N383,1-N383)</f>
        <v>0.215512827284619</v>
      </c>
      <c r="P383" s="6" t="n">
        <f aca="false">LN(O383)</f>
        <v>-1.53473484784728</v>
      </c>
      <c r="AD383" s="8" t="n">
        <f aca="false">B383</f>
        <v>58</v>
      </c>
      <c r="AE383" s="8" t="n">
        <f aca="false">C383</f>
        <v>47300</v>
      </c>
      <c r="AF383" s="8" t="n">
        <f aca="false">D383</f>
        <v>6</v>
      </c>
      <c r="AG383" s="9" t="n">
        <f aca="false">E383*0.85</f>
        <v>39.7715</v>
      </c>
      <c r="AH383" s="9" t="n">
        <f aca="false">F383*0.9</f>
        <v>4.5</v>
      </c>
      <c r="AI383" s="9" t="n">
        <f aca="false">G383</f>
        <v>0.3</v>
      </c>
      <c r="AJ383" s="9" t="n">
        <f aca="false">H383*1.2</f>
        <v>331.2</v>
      </c>
      <c r="AK383" s="8" t="n">
        <f aca="false">I383</f>
        <v>0</v>
      </c>
      <c r="AL383" s="8" t="n">
        <f aca="false">J383</f>
        <v>1</v>
      </c>
      <c r="AM383" s="9" t="n">
        <f aca="false">K383</f>
        <v>0.48</v>
      </c>
      <c r="AN383" s="6" t="n">
        <f aca="false">$R$2 + SUMPRODUCT(AD383:AM383,$S$2:$AB$2)</f>
        <v>-1.7621624005</v>
      </c>
      <c r="AO383" s="6" t="n">
        <f aca="false">1/(1+EXP(-AN383))</f>
        <v>0.146519721212797</v>
      </c>
    </row>
    <row r="384" customFormat="false" ht="15" hidden="false" customHeight="false" outlineLevel="0" collapsed="false">
      <c r="A384" s="3" t="s">
        <v>448</v>
      </c>
      <c r="B384" s="4" t="n">
        <v>54</v>
      </c>
      <c r="C384" s="4" t="n">
        <v>36800</v>
      </c>
      <c r="D384" s="4" t="n">
        <v>3</v>
      </c>
      <c r="E384" s="5" t="n">
        <v>72.99</v>
      </c>
      <c r="F384" s="4" t="n">
        <v>4</v>
      </c>
      <c r="G384" s="5" t="n">
        <v>0.38</v>
      </c>
      <c r="H384" s="4" t="n">
        <v>208</v>
      </c>
      <c r="I384" s="4" t="n">
        <v>1</v>
      </c>
      <c r="J384" s="4" t="n">
        <v>1</v>
      </c>
      <c r="K384" s="5" t="n">
        <v>0.09</v>
      </c>
      <c r="L384" s="4" t="n">
        <v>1</v>
      </c>
      <c r="M384" s="6" t="n">
        <f aca="false">$R$2 + SUMPRODUCT(B384:K384,$S$2:$AB$2)</f>
        <v>-1.01419538</v>
      </c>
      <c r="N384" s="6" t="n">
        <f aca="false">1/(1+EXP(-M384))</f>
        <v>0.266159611216278</v>
      </c>
      <c r="O384" s="6" t="n">
        <f aca="false">IF(L384=1,N384,1-N384)</f>
        <v>0.266159611216278</v>
      </c>
      <c r="P384" s="6" t="n">
        <f aca="false">LN(O384)</f>
        <v>-1.3236591079873</v>
      </c>
      <c r="AD384" s="8" t="n">
        <f aca="false">B384</f>
        <v>54</v>
      </c>
      <c r="AE384" s="8" t="n">
        <f aca="false">C384</f>
        <v>36800</v>
      </c>
      <c r="AF384" s="8" t="n">
        <f aca="false">D384</f>
        <v>3</v>
      </c>
      <c r="AG384" s="9" t="n">
        <f aca="false">E384*0.85</f>
        <v>62.0415</v>
      </c>
      <c r="AH384" s="9" t="n">
        <f aca="false">F384*0.9</f>
        <v>3.6</v>
      </c>
      <c r="AI384" s="9" t="n">
        <f aca="false">G384</f>
        <v>0.38</v>
      </c>
      <c r="AJ384" s="9" t="n">
        <f aca="false">H384*1.2</f>
        <v>249.6</v>
      </c>
      <c r="AK384" s="8" t="n">
        <f aca="false">I384</f>
        <v>1</v>
      </c>
      <c r="AL384" s="8" t="n">
        <f aca="false">J384</f>
        <v>1</v>
      </c>
      <c r="AM384" s="9" t="n">
        <f aca="false">K384</f>
        <v>0.09</v>
      </c>
      <c r="AN384" s="6" t="n">
        <f aca="false">$R$2 + SUMPRODUCT(AD384:AM384,$S$2:$AB$2)</f>
        <v>-1.4472245805</v>
      </c>
      <c r="AO384" s="6" t="n">
        <f aca="false">1/(1+EXP(-AN384))</f>
        <v>0.190429073313561</v>
      </c>
    </row>
    <row r="385" customFormat="false" ht="15" hidden="false" customHeight="false" outlineLevel="0" collapsed="false">
      <c r="A385" s="3" t="s">
        <v>449</v>
      </c>
      <c r="B385" s="4" t="n">
        <v>41</v>
      </c>
      <c r="C385" s="4" t="n">
        <v>25200</v>
      </c>
      <c r="D385" s="4" t="n">
        <v>7</v>
      </c>
      <c r="E385" s="5" t="n">
        <v>106.34</v>
      </c>
      <c r="F385" s="4" t="n">
        <v>6</v>
      </c>
      <c r="G385" s="5" t="n">
        <v>0.32</v>
      </c>
      <c r="H385" s="4" t="n">
        <v>296</v>
      </c>
      <c r="I385" s="4" t="n">
        <v>0</v>
      </c>
      <c r="J385" s="4" t="n">
        <v>1</v>
      </c>
      <c r="K385" s="5" t="n">
        <v>0.41</v>
      </c>
      <c r="L385" s="4" t="n">
        <v>0</v>
      </c>
      <c r="M385" s="6" t="n">
        <f aca="false">$R$2 + SUMPRODUCT(B385:K385,$S$2:$AB$2)</f>
        <v>-0.66118053</v>
      </c>
      <c r="N385" s="6" t="n">
        <f aca="false">1/(1+EXP(-M385))</f>
        <v>0.340474471739805</v>
      </c>
      <c r="O385" s="6" t="n">
        <f aca="false">IF(L385=1,N385,1-N385)</f>
        <v>0.659525528260195</v>
      </c>
      <c r="P385" s="6" t="n">
        <f aca="false">LN(O385)</f>
        <v>-0.416234599067183</v>
      </c>
      <c r="AD385" s="8" t="n">
        <f aca="false">B385</f>
        <v>41</v>
      </c>
      <c r="AE385" s="8" t="n">
        <f aca="false">C385</f>
        <v>25200</v>
      </c>
      <c r="AF385" s="8" t="n">
        <f aca="false">D385</f>
        <v>7</v>
      </c>
      <c r="AG385" s="9" t="n">
        <f aca="false">E385*0.85</f>
        <v>90.389</v>
      </c>
      <c r="AH385" s="9" t="n">
        <f aca="false">F385*0.9</f>
        <v>5.4</v>
      </c>
      <c r="AI385" s="9" t="n">
        <f aca="false">G385</f>
        <v>0.32</v>
      </c>
      <c r="AJ385" s="9" t="n">
        <f aca="false">H385*1.2</f>
        <v>355.2</v>
      </c>
      <c r="AK385" s="8" t="n">
        <f aca="false">I385</f>
        <v>0</v>
      </c>
      <c r="AL385" s="8" t="n">
        <f aca="false">J385</f>
        <v>1</v>
      </c>
      <c r="AM385" s="9" t="n">
        <f aca="false">K385</f>
        <v>0.41</v>
      </c>
      <c r="AN385" s="6" t="n">
        <f aca="false">$R$2 + SUMPRODUCT(AD385:AM385,$S$2:$AB$2)</f>
        <v>-1.285961713</v>
      </c>
      <c r="AO385" s="6" t="n">
        <f aca="false">1/(1+EXP(-AN385))</f>
        <v>0.216537117083528</v>
      </c>
    </row>
    <row r="386" customFormat="false" ht="15" hidden="false" customHeight="false" outlineLevel="0" collapsed="false">
      <c r="A386" s="3" t="s">
        <v>450</v>
      </c>
      <c r="B386" s="4" t="n">
        <v>46</v>
      </c>
      <c r="C386" s="4" t="n">
        <v>69800</v>
      </c>
      <c r="D386" s="4" t="n">
        <v>4</v>
      </c>
      <c r="E386" s="5" t="n">
        <v>68.5</v>
      </c>
      <c r="F386" s="4" t="n">
        <v>3</v>
      </c>
      <c r="G386" s="5" t="n">
        <v>0.67</v>
      </c>
      <c r="H386" s="4" t="n">
        <v>39</v>
      </c>
      <c r="I386" s="4" t="n">
        <v>1</v>
      </c>
      <c r="J386" s="4" t="n">
        <v>1</v>
      </c>
      <c r="K386" s="5" t="n">
        <v>0.25</v>
      </c>
      <c r="L386" s="4" t="n">
        <v>1</v>
      </c>
      <c r="M386" s="6" t="n">
        <f aca="false">$R$2 + SUMPRODUCT(B386:K386,$S$2:$AB$2)</f>
        <v>1.48405432</v>
      </c>
      <c r="N386" s="6" t="n">
        <f aca="false">1/(1+EXP(-M386))</f>
        <v>0.815184180928761</v>
      </c>
      <c r="O386" s="6" t="n">
        <f aca="false">IF(L386=1,N386,1-N386)</f>
        <v>0.815184180928761</v>
      </c>
      <c r="P386" s="6" t="n">
        <f aca="false">LN(O386)</f>
        <v>-0.204341202403268</v>
      </c>
      <c r="AD386" s="8" t="n">
        <f aca="false">B386</f>
        <v>46</v>
      </c>
      <c r="AE386" s="8" t="n">
        <f aca="false">C386</f>
        <v>69800</v>
      </c>
      <c r="AF386" s="8" t="n">
        <f aca="false">D386</f>
        <v>4</v>
      </c>
      <c r="AG386" s="9" t="n">
        <f aca="false">E386*0.85</f>
        <v>58.225</v>
      </c>
      <c r="AH386" s="9" t="n">
        <f aca="false">F386*0.9</f>
        <v>2.7</v>
      </c>
      <c r="AI386" s="9" t="n">
        <f aca="false">G386</f>
        <v>0.67</v>
      </c>
      <c r="AJ386" s="9" t="n">
        <f aca="false">H386*1.2</f>
        <v>46.8</v>
      </c>
      <c r="AK386" s="8" t="n">
        <f aca="false">I386</f>
        <v>1</v>
      </c>
      <c r="AL386" s="8" t="n">
        <f aca="false">J386</f>
        <v>1</v>
      </c>
      <c r="AM386" s="9" t="n">
        <f aca="false">K386</f>
        <v>0.25</v>
      </c>
      <c r="AN386" s="6" t="n">
        <f aca="false">$R$2 + SUMPRODUCT(AD386:AM386,$S$2:$AB$2)</f>
        <v>1.266298945</v>
      </c>
      <c r="AO386" s="6" t="n">
        <f aca="false">1/(1+EXP(-AN386))</f>
        <v>0.78010853007188</v>
      </c>
    </row>
    <row r="387" customFormat="false" ht="15" hidden="false" customHeight="false" outlineLevel="0" collapsed="false">
      <c r="A387" s="3" t="s">
        <v>451</v>
      </c>
      <c r="B387" s="4" t="n">
        <v>66</v>
      </c>
      <c r="C387" s="4" t="n">
        <v>56300</v>
      </c>
      <c r="D387" s="4" t="n">
        <v>7</v>
      </c>
      <c r="E387" s="5" t="n">
        <v>89.9</v>
      </c>
      <c r="F387" s="4" t="n">
        <v>1</v>
      </c>
      <c r="G387" s="5" t="n">
        <v>0.48</v>
      </c>
      <c r="H387" s="4" t="n">
        <v>288</v>
      </c>
      <c r="I387" s="4" t="n">
        <v>0</v>
      </c>
      <c r="J387" s="4" t="n">
        <v>1</v>
      </c>
      <c r="K387" s="5" t="n">
        <v>0.34</v>
      </c>
      <c r="L387" s="4" t="n">
        <v>0</v>
      </c>
      <c r="M387" s="6" t="n">
        <f aca="false">$R$2 + SUMPRODUCT(B387:K387,$S$2:$AB$2)</f>
        <v>-0.804784</v>
      </c>
      <c r="N387" s="6" t="n">
        <f aca="false">1/(1+EXP(-M387))</f>
        <v>0.309003106041749</v>
      </c>
      <c r="O387" s="6" t="n">
        <f aca="false">IF(L387=1,N387,1-N387)</f>
        <v>0.690996893958251</v>
      </c>
      <c r="P387" s="6" t="n">
        <f aca="false">LN(O387)</f>
        <v>-0.369619950219865</v>
      </c>
      <c r="AD387" s="8" t="n">
        <f aca="false">B387</f>
        <v>66</v>
      </c>
      <c r="AE387" s="8" t="n">
        <f aca="false">C387</f>
        <v>56300</v>
      </c>
      <c r="AF387" s="8" t="n">
        <f aca="false">D387</f>
        <v>7</v>
      </c>
      <c r="AG387" s="9" t="n">
        <f aca="false">E387*0.85</f>
        <v>76.415</v>
      </c>
      <c r="AH387" s="9" t="n">
        <f aca="false">F387*0.9</f>
        <v>0.9</v>
      </c>
      <c r="AI387" s="9" t="n">
        <f aca="false">G387</f>
        <v>0.48</v>
      </c>
      <c r="AJ387" s="9" t="n">
        <f aca="false">H387*1.2</f>
        <v>345.6</v>
      </c>
      <c r="AK387" s="8" t="n">
        <f aca="false">I387</f>
        <v>0</v>
      </c>
      <c r="AL387" s="8" t="n">
        <f aca="false">J387</f>
        <v>1</v>
      </c>
      <c r="AM387" s="9" t="n">
        <f aca="false">K387</f>
        <v>0.34</v>
      </c>
      <c r="AN387" s="6" t="n">
        <f aca="false">$R$2 + SUMPRODUCT(AD387:AM387,$S$2:$AB$2)</f>
        <v>-1.329195105</v>
      </c>
      <c r="AO387" s="6" t="n">
        <f aca="false">1/(1+EXP(-AN387))</f>
        <v>0.209292535451037</v>
      </c>
    </row>
    <row r="388" customFormat="false" ht="15" hidden="false" customHeight="false" outlineLevel="0" collapsed="false">
      <c r="A388" s="3" t="s">
        <v>452</v>
      </c>
      <c r="B388" s="4" t="n">
        <v>63</v>
      </c>
      <c r="C388" s="4" t="n">
        <v>31800</v>
      </c>
      <c r="D388" s="4" t="n">
        <v>6</v>
      </c>
      <c r="E388" s="5" t="n">
        <v>30.24</v>
      </c>
      <c r="F388" s="4" t="n">
        <v>3</v>
      </c>
      <c r="G388" s="5" t="n">
        <v>0.4</v>
      </c>
      <c r="H388" s="4" t="n">
        <v>124</v>
      </c>
      <c r="I388" s="4" t="n">
        <v>0</v>
      </c>
      <c r="J388" s="4" t="n">
        <v>1</v>
      </c>
      <c r="K388" s="5" t="n">
        <v>0.65</v>
      </c>
      <c r="L388" s="4" t="n">
        <v>1</v>
      </c>
      <c r="M388" s="6" t="n">
        <f aca="false">$R$2 + SUMPRODUCT(B388:K388,$S$2:$AB$2)</f>
        <v>-0.92650623</v>
      </c>
      <c r="N388" s="6" t="n">
        <f aca="false">1/(1+EXP(-M388))</f>
        <v>0.28363406195203</v>
      </c>
      <c r="O388" s="6" t="n">
        <f aca="false">IF(L388=1,N388,1-N388)</f>
        <v>0.28363406195203</v>
      </c>
      <c r="P388" s="6" t="n">
        <f aca="false">LN(O388)</f>
        <v>-1.26007038592262</v>
      </c>
      <c r="AD388" s="8" t="n">
        <f aca="false">B388</f>
        <v>63</v>
      </c>
      <c r="AE388" s="8" t="n">
        <f aca="false">C388</f>
        <v>31800</v>
      </c>
      <c r="AF388" s="8" t="n">
        <f aca="false">D388</f>
        <v>6</v>
      </c>
      <c r="AG388" s="9" t="n">
        <f aca="false">E388*0.85</f>
        <v>25.704</v>
      </c>
      <c r="AH388" s="9" t="n">
        <f aca="false">F388*0.9</f>
        <v>2.7</v>
      </c>
      <c r="AI388" s="9" t="n">
        <f aca="false">G388</f>
        <v>0.4</v>
      </c>
      <c r="AJ388" s="9" t="n">
        <f aca="false">H388*1.2</f>
        <v>148.8</v>
      </c>
      <c r="AK388" s="8" t="n">
        <f aca="false">I388</f>
        <v>0</v>
      </c>
      <c r="AL388" s="8" t="n">
        <f aca="false">J388</f>
        <v>1</v>
      </c>
      <c r="AM388" s="9" t="n">
        <f aca="false">K388</f>
        <v>0.65</v>
      </c>
      <c r="AN388" s="6" t="n">
        <f aca="false">$R$2 + SUMPRODUCT(AD388:AM388,$S$2:$AB$2)</f>
        <v>-1.165055618</v>
      </c>
      <c r="AO388" s="6" t="n">
        <f aca="false">1/(1+EXP(-AN388))</f>
        <v>0.23774986706118</v>
      </c>
    </row>
    <row r="389" customFormat="false" ht="15" hidden="false" customHeight="false" outlineLevel="0" collapsed="false">
      <c r="A389" s="3" t="s">
        <v>453</v>
      </c>
      <c r="B389" s="4" t="n">
        <v>48</v>
      </c>
      <c r="C389" s="4" t="n">
        <v>31700</v>
      </c>
      <c r="D389" s="4" t="n">
        <v>7</v>
      </c>
      <c r="E389" s="5" t="n">
        <v>68.94</v>
      </c>
      <c r="F389" s="4" t="n">
        <v>7</v>
      </c>
      <c r="G389" s="5" t="n">
        <v>0.64</v>
      </c>
      <c r="H389" s="4" t="n">
        <v>364</v>
      </c>
      <c r="I389" s="4" t="n">
        <v>0</v>
      </c>
      <c r="J389" s="4" t="n">
        <v>1</v>
      </c>
      <c r="K389" s="5" t="n">
        <v>0.05</v>
      </c>
      <c r="L389" s="4" t="n">
        <v>0</v>
      </c>
      <c r="M389" s="6" t="n">
        <f aca="false">$R$2 + SUMPRODUCT(B389:K389,$S$2:$AB$2)</f>
        <v>-1.25206989</v>
      </c>
      <c r="N389" s="6" t="n">
        <f aca="false">1/(1+EXP(-M389))</f>
        <v>0.22234203662919</v>
      </c>
      <c r="O389" s="6" t="n">
        <f aca="false">IF(L389=1,N389,1-N389)</f>
        <v>0.77765796337081</v>
      </c>
      <c r="P389" s="6" t="n">
        <f aca="false">LN(O389)</f>
        <v>-0.251468487242052</v>
      </c>
      <c r="AD389" s="8" t="n">
        <f aca="false">B389</f>
        <v>48</v>
      </c>
      <c r="AE389" s="8" t="n">
        <f aca="false">C389</f>
        <v>31700</v>
      </c>
      <c r="AF389" s="8" t="n">
        <f aca="false">D389</f>
        <v>7</v>
      </c>
      <c r="AG389" s="9" t="n">
        <f aca="false">E389*0.85</f>
        <v>58.599</v>
      </c>
      <c r="AH389" s="9" t="n">
        <f aca="false">F389*0.9</f>
        <v>6.3</v>
      </c>
      <c r="AI389" s="9" t="n">
        <f aca="false">G389</f>
        <v>0.64</v>
      </c>
      <c r="AJ389" s="9" t="n">
        <f aca="false">H389*1.2</f>
        <v>436.8</v>
      </c>
      <c r="AK389" s="8" t="n">
        <f aca="false">I389</f>
        <v>0</v>
      </c>
      <c r="AL389" s="8" t="n">
        <f aca="false">J389</f>
        <v>1</v>
      </c>
      <c r="AM389" s="9" t="n">
        <f aca="false">K389</f>
        <v>0.05</v>
      </c>
      <c r="AN389" s="6" t="n">
        <f aca="false">$R$2 + SUMPRODUCT(AD389:AM389,$S$2:$AB$2)</f>
        <v>-1.891407043</v>
      </c>
      <c r="AO389" s="6" t="n">
        <f aca="false">1/(1+EXP(-AN389))</f>
        <v>0.131084122521264</v>
      </c>
    </row>
    <row r="390" customFormat="false" ht="15" hidden="false" customHeight="false" outlineLevel="0" collapsed="false">
      <c r="A390" s="3" t="s">
        <v>454</v>
      </c>
      <c r="B390" s="4" t="n">
        <v>52</v>
      </c>
      <c r="C390" s="4" t="n">
        <v>49000</v>
      </c>
      <c r="D390" s="4" t="n">
        <v>4</v>
      </c>
      <c r="E390" s="5" t="n">
        <v>37.57</v>
      </c>
      <c r="F390" s="4" t="n">
        <v>5</v>
      </c>
      <c r="G390" s="5" t="n">
        <v>0.2</v>
      </c>
      <c r="H390" s="4" t="n">
        <v>283</v>
      </c>
      <c r="I390" s="4" t="n">
        <v>1</v>
      </c>
      <c r="J390" s="4" t="n">
        <v>0</v>
      </c>
      <c r="K390" s="5" t="n">
        <v>0.51</v>
      </c>
      <c r="L390" s="4" t="n">
        <v>0</v>
      </c>
      <c r="M390" s="6" t="n">
        <f aca="false">$R$2 + SUMPRODUCT(B390:K390,$S$2:$AB$2)</f>
        <v>-1.76123116</v>
      </c>
      <c r="N390" s="6" t="n">
        <f aca="false">1/(1+EXP(-M390))</f>
        <v>0.146636212751156</v>
      </c>
      <c r="O390" s="6" t="n">
        <f aca="false">IF(L390=1,N390,1-N390)</f>
        <v>0.853363787248844</v>
      </c>
      <c r="P390" s="6" t="n">
        <f aca="false">LN(O390)</f>
        <v>-0.158569342631207</v>
      </c>
      <c r="AD390" s="8" t="n">
        <f aca="false">B390</f>
        <v>52</v>
      </c>
      <c r="AE390" s="8" t="n">
        <f aca="false">C390</f>
        <v>49000</v>
      </c>
      <c r="AF390" s="8" t="n">
        <f aca="false">D390</f>
        <v>4</v>
      </c>
      <c r="AG390" s="9" t="n">
        <f aca="false">E390*0.85</f>
        <v>31.9345</v>
      </c>
      <c r="AH390" s="9" t="n">
        <f aca="false">F390*0.9</f>
        <v>4.5</v>
      </c>
      <c r="AI390" s="9" t="n">
        <f aca="false">G390</f>
        <v>0.2</v>
      </c>
      <c r="AJ390" s="9" t="n">
        <f aca="false">H390*1.2</f>
        <v>339.6</v>
      </c>
      <c r="AK390" s="8" t="n">
        <f aca="false">I390</f>
        <v>1</v>
      </c>
      <c r="AL390" s="8" t="n">
        <f aca="false">J390</f>
        <v>0</v>
      </c>
      <c r="AM390" s="9" t="n">
        <f aca="false">K390</f>
        <v>0.51</v>
      </c>
      <c r="AN390" s="6" t="n">
        <f aca="false">$R$2 + SUMPRODUCT(AD390:AM390,$S$2:$AB$2)</f>
        <v>-2.2208671315</v>
      </c>
      <c r="AO390" s="6" t="n">
        <f aca="false">1/(1+EXP(-AN390))</f>
        <v>0.0978922018006441</v>
      </c>
    </row>
    <row r="391" customFormat="false" ht="15" hidden="false" customHeight="false" outlineLevel="0" collapsed="false">
      <c r="A391" s="3" t="s">
        <v>455</v>
      </c>
      <c r="B391" s="4" t="n">
        <v>50</v>
      </c>
      <c r="C391" s="4" t="n">
        <v>85000</v>
      </c>
      <c r="D391" s="4" t="n">
        <v>3</v>
      </c>
      <c r="E391" s="5" t="n">
        <v>28.08</v>
      </c>
      <c r="F391" s="4" t="n">
        <v>4</v>
      </c>
      <c r="G391" s="5" t="n">
        <v>0.74</v>
      </c>
      <c r="H391" s="4" t="n">
        <v>180</v>
      </c>
      <c r="I391" s="4" t="n">
        <v>0</v>
      </c>
      <c r="J391" s="4" t="n">
        <v>1</v>
      </c>
      <c r="K391" s="5" t="n">
        <v>0.12</v>
      </c>
      <c r="L391" s="4" t="n">
        <v>1</v>
      </c>
      <c r="M391" s="6" t="n">
        <f aca="false">$R$2 + SUMPRODUCT(B391:K391,$S$2:$AB$2)</f>
        <v>-0.39793586</v>
      </c>
      <c r="N391" s="6" t="n">
        <f aca="false">1/(1+EXP(-M391))</f>
        <v>0.401808372571554</v>
      </c>
      <c r="O391" s="6" t="n">
        <f aca="false">IF(L391=1,N391,1-N391)</f>
        <v>0.401808372571554</v>
      </c>
      <c r="P391" s="6" t="n">
        <f aca="false">LN(O391)</f>
        <v>-0.911779989158986</v>
      </c>
      <c r="AD391" s="8" t="n">
        <f aca="false">B391</f>
        <v>50</v>
      </c>
      <c r="AE391" s="8" t="n">
        <f aca="false">C391</f>
        <v>85000</v>
      </c>
      <c r="AF391" s="8" t="n">
        <f aca="false">D391</f>
        <v>3</v>
      </c>
      <c r="AG391" s="9" t="n">
        <f aca="false">E391*0.85</f>
        <v>23.868</v>
      </c>
      <c r="AH391" s="9" t="n">
        <f aca="false">F391*0.9</f>
        <v>3.6</v>
      </c>
      <c r="AI391" s="9" t="n">
        <f aca="false">G391</f>
        <v>0.74</v>
      </c>
      <c r="AJ391" s="9" t="n">
        <f aca="false">H391*1.2</f>
        <v>216</v>
      </c>
      <c r="AK391" s="8" t="n">
        <f aca="false">I391</f>
        <v>0</v>
      </c>
      <c r="AL391" s="8" t="n">
        <f aca="false">J391</f>
        <v>1</v>
      </c>
      <c r="AM391" s="9" t="n">
        <f aca="false">K391</f>
        <v>0.12</v>
      </c>
      <c r="AN391" s="6" t="n">
        <f aca="false">$R$2 + SUMPRODUCT(AD391:AM391,$S$2:$AB$2)</f>
        <v>-0.708228856</v>
      </c>
      <c r="AO391" s="6" t="n">
        <f aca="false">1/(1+EXP(-AN391))</f>
        <v>0.329990316317607</v>
      </c>
    </row>
    <row r="392" customFormat="false" ht="15" hidden="false" customHeight="false" outlineLevel="0" collapsed="false">
      <c r="A392" s="3" t="s">
        <v>456</v>
      </c>
      <c r="B392" s="4" t="n">
        <v>69</v>
      </c>
      <c r="C392" s="4" t="n">
        <v>50300</v>
      </c>
      <c r="D392" s="4" t="n">
        <v>4</v>
      </c>
      <c r="E392" s="5" t="n">
        <v>46.52</v>
      </c>
      <c r="F392" s="4" t="n">
        <v>6</v>
      </c>
      <c r="G392" s="5" t="n">
        <v>0.8</v>
      </c>
      <c r="H392" s="4" t="n">
        <v>97</v>
      </c>
      <c r="I392" s="4" t="n">
        <v>1</v>
      </c>
      <c r="J392" s="4" t="n">
        <v>0</v>
      </c>
      <c r="K392" s="5" t="n">
        <v>0.29</v>
      </c>
      <c r="L392" s="4" t="n">
        <v>0</v>
      </c>
      <c r="M392" s="6" t="n">
        <f aca="false">$R$2 + SUMPRODUCT(B392:K392,$S$2:$AB$2)</f>
        <v>0.12008153</v>
      </c>
      <c r="N392" s="6" t="n">
        <f aca="false">1/(1+EXP(-M392))</f>
        <v>0.529984361013692</v>
      </c>
      <c r="O392" s="6" t="n">
        <f aca="false">IF(L392=1,N392,1-N392)</f>
        <v>0.470015638986308</v>
      </c>
      <c r="P392" s="6" t="n">
        <f aca="false">LN(O392)</f>
        <v>-0.754989310392661</v>
      </c>
      <c r="AD392" s="8" t="n">
        <f aca="false">B392</f>
        <v>69</v>
      </c>
      <c r="AE392" s="8" t="n">
        <f aca="false">C392</f>
        <v>50300</v>
      </c>
      <c r="AF392" s="8" t="n">
        <f aca="false">D392</f>
        <v>4</v>
      </c>
      <c r="AG392" s="9" t="n">
        <f aca="false">E392*0.85</f>
        <v>39.542</v>
      </c>
      <c r="AH392" s="9" t="n">
        <f aca="false">F392*0.9</f>
        <v>5.4</v>
      </c>
      <c r="AI392" s="9" t="n">
        <f aca="false">G392</f>
        <v>0.8</v>
      </c>
      <c r="AJ392" s="9" t="n">
        <f aca="false">H392*1.2</f>
        <v>116.4</v>
      </c>
      <c r="AK392" s="8" t="n">
        <f aca="false">I392</f>
        <v>1</v>
      </c>
      <c r="AL392" s="8" t="n">
        <f aca="false">J392</f>
        <v>0</v>
      </c>
      <c r="AM392" s="9" t="n">
        <f aca="false">K392</f>
        <v>0.29</v>
      </c>
      <c r="AN392" s="6" t="n">
        <f aca="false">$R$2 + SUMPRODUCT(AD392:AM392,$S$2:$AB$2)</f>
        <v>-0.154996944</v>
      </c>
      <c r="AO392" s="6" t="n">
        <f aca="false">1/(1+EXP(-AN392))</f>
        <v>0.461328154223119</v>
      </c>
    </row>
    <row r="393" customFormat="false" ht="15" hidden="false" customHeight="false" outlineLevel="0" collapsed="false">
      <c r="A393" s="3" t="s">
        <v>457</v>
      </c>
      <c r="B393" s="4" t="n">
        <v>38</v>
      </c>
      <c r="C393" s="4" t="n">
        <v>27900</v>
      </c>
      <c r="D393" s="4" t="n">
        <v>6</v>
      </c>
      <c r="E393" s="5" t="n">
        <v>94.8</v>
      </c>
      <c r="F393" s="4" t="n">
        <v>6</v>
      </c>
      <c r="G393" s="5" t="n">
        <v>0.32</v>
      </c>
      <c r="H393" s="4" t="n">
        <v>191</v>
      </c>
      <c r="I393" s="4" t="n">
        <v>0</v>
      </c>
      <c r="J393" s="4" t="n">
        <v>1</v>
      </c>
      <c r="K393" s="5" t="n">
        <v>0.21</v>
      </c>
      <c r="L393" s="4" t="n">
        <v>1</v>
      </c>
      <c r="M393" s="6" t="n">
        <f aca="false">$R$2 + SUMPRODUCT(B393:K393,$S$2:$AB$2)</f>
        <v>-0.53184995</v>
      </c>
      <c r="N393" s="6" t="n">
        <f aca="false">1/(1+EXP(-M393))</f>
        <v>0.370085520017184</v>
      </c>
      <c r="O393" s="6" t="n">
        <f aca="false">IF(L393=1,N393,1-N393)</f>
        <v>0.370085520017184</v>
      </c>
      <c r="P393" s="6" t="n">
        <f aca="false">LN(O393)</f>
        <v>-0.99402116486991</v>
      </c>
      <c r="AD393" s="8" t="n">
        <f aca="false">B393</f>
        <v>38</v>
      </c>
      <c r="AE393" s="8" t="n">
        <f aca="false">C393</f>
        <v>27900</v>
      </c>
      <c r="AF393" s="8" t="n">
        <f aca="false">D393</f>
        <v>6</v>
      </c>
      <c r="AG393" s="9" t="n">
        <f aca="false">E393*0.85</f>
        <v>80.58</v>
      </c>
      <c r="AH393" s="9" t="n">
        <f aca="false">F393*0.9</f>
        <v>5.4</v>
      </c>
      <c r="AI393" s="9" t="n">
        <f aca="false">G393</f>
        <v>0.32</v>
      </c>
      <c r="AJ393" s="9" t="n">
        <f aca="false">H393*1.2</f>
        <v>229.2</v>
      </c>
      <c r="AK393" s="8" t="n">
        <f aca="false">I393</f>
        <v>0</v>
      </c>
      <c r="AL393" s="8" t="n">
        <f aca="false">J393</f>
        <v>1</v>
      </c>
      <c r="AM393" s="9" t="n">
        <f aca="false">K393</f>
        <v>0.21</v>
      </c>
      <c r="AN393" s="6" t="n">
        <f aca="false">$R$2 + SUMPRODUCT(AD393:AM393,$S$2:$AB$2)</f>
        <v>-1.01246061</v>
      </c>
      <c r="AO393" s="6" t="n">
        <f aca="false">1/(1+EXP(-AN393))</f>
        <v>0.26649858161138</v>
      </c>
    </row>
    <row r="394" customFormat="false" ht="15" hidden="false" customHeight="false" outlineLevel="0" collapsed="false">
      <c r="A394" s="3" t="s">
        <v>458</v>
      </c>
      <c r="B394" s="4" t="n">
        <v>49</v>
      </c>
      <c r="C394" s="4" t="n">
        <v>50600</v>
      </c>
      <c r="D394" s="4" t="n">
        <v>5</v>
      </c>
      <c r="E394" s="5" t="n">
        <v>88.75</v>
      </c>
      <c r="F394" s="4" t="n">
        <v>2</v>
      </c>
      <c r="G394" s="5" t="n">
        <v>0.45</v>
      </c>
      <c r="H394" s="4" t="n">
        <v>74</v>
      </c>
      <c r="I394" s="4" t="n">
        <v>0</v>
      </c>
      <c r="J394" s="4" t="n">
        <v>1</v>
      </c>
      <c r="K394" s="5" t="n">
        <v>0.23</v>
      </c>
      <c r="L394" s="4" t="n">
        <v>0</v>
      </c>
      <c r="M394" s="6" t="n">
        <f aca="false">$R$2 + SUMPRODUCT(B394:K394,$S$2:$AB$2)</f>
        <v>0.0400482900000005</v>
      </c>
      <c r="N394" s="6" t="n">
        <f aca="false">1/(1+EXP(-M394))</f>
        <v>0.510010734546424</v>
      </c>
      <c r="O394" s="6" t="n">
        <f aca="false">IF(L394=1,N394,1-N394)</f>
        <v>0.489989265453576</v>
      </c>
      <c r="P394" s="6" t="n">
        <f aca="false">LN(O394)</f>
        <v>-0.713371795355032</v>
      </c>
      <c r="AD394" s="8" t="n">
        <f aca="false">B394</f>
        <v>49</v>
      </c>
      <c r="AE394" s="8" t="n">
        <f aca="false">C394</f>
        <v>50600</v>
      </c>
      <c r="AF394" s="8" t="n">
        <f aca="false">D394</f>
        <v>5</v>
      </c>
      <c r="AG394" s="9" t="n">
        <f aca="false">E394*0.85</f>
        <v>75.4375</v>
      </c>
      <c r="AH394" s="9" t="n">
        <f aca="false">F394*0.9</f>
        <v>1.8</v>
      </c>
      <c r="AI394" s="9" t="n">
        <f aca="false">G394</f>
        <v>0.45</v>
      </c>
      <c r="AJ394" s="9" t="n">
        <f aca="false">H394*1.2</f>
        <v>88.8</v>
      </c>
      <c r="AK394" s="8" t="n">
        <f aca="false">I394</f>
        <v>0</v>
      </c>
      <c r="AL394" s="8" t="n">
        <f aca="false">J394</f>
        <v>1</v>
      </c>
      <c r="AM394" s="9" t="n">
        <f aca="false">K394</f>
        <v>0.23</v>
      </c>
      <c r="AN394" s="6" t="n">
        <f aca="false">$R$2 + SUMPRODUCT(AD394:AM394,$S$2:$AB$2)</f>
        <v>-0.2472095225</v>
      </c>
      <c r="AO394" s="6" t="n">
        <f aca="false">1/(1+EXP(-AN394))</f>
        <v>0.438510449475653</v>
      </c>
    </row>
    <row r="395" customFormat="false" ht="15" hidden="false" customHeight="false" outlineLevel="0" collapsed="false">
      <c r="A395" s="3" t="s">
        <v>459</v>
      </c>
      <c r="B395" s="4" t="n">
        <v>40</v>
      </c>
      <c r="C395" s="4" t="n">
        <v>50100</v>
      </c>
      <c r="D395" s="4" t="n">
        <v>5</v>
      </c>
      <c r="E395" s="5" t="n">
        <v>71.08</v>
      </c>
      <c r="F395" s="4" t="n">
        <v>3</v>
      </c>
      <c r="G395" s="5" t="n">
        <v>0.17</v>
      </c>
      <c r="H395" s="4" t="n">
        <v>273</v>
      </c>
      <c r="I395" s="4" t="n">
        <v>0</v>
      </c>
      <c r="J395" s="4" t="n">
        <v>1</v>
      </c>
      <c r="K395" s="5" t="n">
        <v>0.19</v>
      </c>
      <c r="L395" s="4" t="n">
        <v>0</v>
      </c>
      <c r="M395" s="6" t="n">
        <f aca="false">$R$2 + SUMPRODUCT(B395:K395,$S$2:$AB$2)</f>
        <v>-1.64281002</v>
      </c>
      <c r="N395" s="6" t="n">
        <f aca="false">1/(1+EXP(-M395))</f>
        <v>0.162083065260923</v>
      </c>
      <c r="O395" s="6" t="n">
        <f aca="false">IF(L395=1,N395,1-N395)</f>
        <v>0.837916934739077</v>
      </c>
      <c r="P395" s="6" t="n">
        <f aca="false">LN(O395)</f>
        <v>-0.176836306636144</v>
      </c>
      <c r="AD395" s="8" t="n">
        <f aca="false">B395</f>
        <v>40</v>
      </c>
      <c r="AE395" s="8" t="n">
        <f aca="false">C395</f>
        <v>50100</v>
      </c>
      <c r="AF395" s="8" t="n">
        <f aca="false">D395</f>
        <v>5</v>
      </c>
      <c r="AG395" s="9" t="n">
        <f aca="false">E395*0.85</f>
        <v>60.418</v>
      </c>
      <c r="AH395" s="9" t="n">
        <f aca="false">F395*0.9</f>
        <v>2.7</v>
      </c>
      <c r="AI395" s="9" t="n">
        <f aca="false">G395</f>
        <v>0.17</v>
      </c>
      <c r="AJ395" s="9" t="n">
        <f aca="false">H395*1.2</f>
        <v>327.6</v>
      </c>
      <c r="AK395" s="8" t="n">
        <f aca="false">I395</f>
        <v>0</v>
      </c>
      <c r="AL395" s="8" t="n">
        <f aca="false">J395</f>
        <v>1</v>
      </c>
      <c r="AM395" s="9" t="n">
        <f aca="false">K395</f>
        <v>0.19</v>
      </c>
      <c r="AN395" s="6" t="n">
        <f aca="false">$R$2 + SUMPRODUCT(AD395:AM395,$S$2:$AB$2)</f>
        <v>-2.135238366</v>
      </c>
      <c r="AO395" s="6" t="n">
        <f aca="false">1/(1+EXP(-AN395))</f>
        <v>0.105718720789517</v>
      </c>
    </row>
    <row r="396" customFormat="false" ht="15" hidden="false" customHeight="false" outlineLevel="0" collapsed="false">
      <c r="A396" s="3" t="s">
        <v>460</v>
      </c>
      <c r="B396" s="4" t="n">
        <v>50</v>
      </c>
      <c r="C396" s="4" t="n">
        <v>15000</v>
      </c>
      <c r="D396" s="4" t="n">
        <v>12</v>
      </c>
      <c r="E396" s="5" t="n">
        <v>26.68</v>
      </c>
      <c r="F396" s="4" t="n">
        <v>6</v>
      </c>
      <c r="G396" s="5" t="n">
        <v>0.69</v>
      </c>
      <c r="H396" s="4" t="n">
        <v>49</v>
      </c>
      <c r="I396" s="4" t="n">
        <v>0</v>
      </c>
      <c r="J396" s="4" t="n">
        <v>1</v>
      </c>
      <c r="K396" s="5" t="n">
        <v>0.07</v>
      </c>
      <c r="L396" s="4" t="n">
        <v>1</v>
      </c>
      <c r="M396" s="6" t="n">
        <f aca="false">$R$2 + SUMPRODUCT(B396:K396,$S$2:$AB$2)</f>
        <v>0.52120774</v>
      </c>
      <c r="N396" s="6" t="n">
        <f aca="false">1/(1+EXP(-M396))</f>
        <v>0.627430132923743</v>
      </c>
      <c r="O396" s="6" t="n">
        <f aca="false">IF(L396=1,N396,1-N396)</f>
        <v>0.627430132923743</v>
      </c>
      <c r="P396" s="6" t="n">
        <f aca="false">LN(O396)</f>
        <v>-0.466122956129368</v>
      </c>
      <c r="AD396" s="8" t="n">
        <f aca="false">B396</f>
        <v>50</v>
      </c>
      <c r="AE396" s="8" t="n">
        <f aca="false">C396</f>
        <v>15000</v>
      </c>
      <c r="AF396" s="8" t="n">
        <f aca="false">D396</f>
        <v>12</v>
      </c>
      <c r="AG396" s="9" t="n">
        <f aca="false">E396*0.85</f>
        <v>22.678</v>
      </c>
      <c r="AH396" s="9" t="n">
        <f aca="false">F396*0.9</f>
        <v>5.4</v>
      </c>
      <c r="AI396" s="9" t="n">
        <f aca="false">G396</f>
        <v>0.69</v>
      </c>
      <c r="AJ396" s="9" t="n">
        <f aca="false">H396*1.2</f>
        <v>58.8</v>
      </c>
      <c r="AK396" s="8" t="n">
        <f aca="false">I396</f>
        <v>0</v>
      </c>
      <c r="AL396" s="8" t="n">
        <f aca="false">J396</f>
        <v>1</v>
      </c>
      <c r="AM396" s="9" t="n">
        <f aca="false">K396</f>
        <v>0.07</v>
      </c>
      <c r="AN396" s="6" t="n">
        <f aca="false">$R$2 + SUMPRODUCT(AD396:AM396,$S$2:$AB$2)</f>
        <v>0.341382674</v>
      </c>
      <c r="AO396" s="6" t="n">
        <f aca="false">1/(1+EXP(-AN396))</f>
        <v>0.584526351834358</v>
      </c>
    </row>
    <row r="397" customFormat="false" ht="15" hidden="false" customHeight="false" outlineLevel="0" collapsed="false">
      <c r="A397" s="3" t="s">
        <v>461</v>
      </c>
      <c r="B397" s="4" t="n">
        <v>20</v>
      </c>
      <c r="C397" s="4" t="n">
        <v>54000</v>
      </c>
      <c r="D397" s="4" t="n">
        <v>6</v>
      </c>
      <c r="E397" s="5" t="n">
        <v>60.09</v>
      </c>
      <c r="F397" s="4" t="n">
        <v>4</v>
      </c>
      <c r="G397" s="5" t="n">
        <v>0.74</v>
      </c>
      <c r="H397" s="4" t="n">
        <v>337</v>
      </c>
      <c r="I397" s="4" t="n">
        <v>0</v>
      </c>
      <c r="J397" s="4" t="n">
        <v>0</v>
      </c>
      <c r="K397" s="5" t="n">
        <v>0.26</v>
      </c>
      <c r="L397" s="4" t="n">
        <v>0</v>
      </c>
      <c r="M397" s="6" t="n">
        <f aca="false">$R$2 + SUMPRODUCT(B397:K397,$S$2:$AB$2)</f>
        <v>-1.14194991</v>
      </c>
      <c r="N397" s="6" t="n">
        <f aca="false">1/(1+EXP(-M397))</f>
        <v>0.241962535077062</v>
      </c>
      <c r="O397" s="6" t="n">
        <f aca="false">IF(L397=1,N397,1-N397)</f>
        <v>0.758037464922938</v>
      </c>
      <c r="P397" s="6" t="n">
        <f aca="false">LN(O397)</f>
        <v>-0.277022468541483</v>
      </c>
      <c r="AD397" s="8" t="n">
        <f aca="false">B397</f>
        <v>20</v>
      </c>
      <c r="AE397" s="8" t="n">
        <f aca="false">C397</f>
        <v>54000</v>
      </c>
      <c r="AF397" s="8" t="n">
        <f aca="false">D397</f>
        <v>6</v>
      </c>
      <c r="AG397" s="9" t="n">
        <f aca="false">E397*0.85</f>
        <v>51.0765</v>
      </c>
      <c r="AH397" s="9" t="n">
        <f aca="false">F397*0.9</f>
        <v>3.6</v>
      </c>
      <c r="AI397" s="9" t="n">
        <f aca="false">G397</f>
        <v>0.74</v>
      </c>
      <c r="AJ397" s="9" t="n">
        <f aca="false">H397*1.2</f>
        <v>404.4</v>
      </c>
      <c r="AK397" s="8" t="n">
        <f aca="false">I397</f>
        <v>0</v>
      </c>
      <c r="AL397" s="8" t="n">
        <f aca="false">J397</f>
        <v>0</v>
      </c>
      <c r="AM397" s="9" t="n">
        <f aca="false">K397</f>
        <v>0.26</v>
      </c>
      <c r="AN397" s="6" t="n">
        <f aca="false">$R$2 + SUMPRODUCT(AD397:AM397,$S$2:$AB$2)</f>
        <v>-1.6975426555</v>
      </c>
      <c r="AO397" s="6" t="n">
        <f aca="false">1/(1+EXP(-AN397))</f>
        <v>0.154786480979607</v>
      </c>
    </row>
    <row r="398" customFormat="false" ht="15" hidden="false" customHeight="false" outlineLevel="0" collapsed="false">
      <c r="A398" s="3" t="s">
        <v>462</v>
      </c>
      <c r="B398" s="4" t="n">
        <v>35</v>
      </c>
      <c r="C398" s="4" t="n">
        <v>50800</v>
      </c>
      <c r="D398" s="4" t="n">
        <v>4</v>
      </c>
      <c r="E398" s="5" t="n">
        <v>72.54</v>
      </c>
      <c r="F398" s="4" t="n">
        <v>1</v>
      </c>
      <c r="G398" s="5" t="n">
        <v>0.33</v>
      </c>
      <c r="H398" s="4" t="n">
        <v>210</v>
      </c>
      <c r="I398" s="4" t="n">
        <v>0</v>
      </c>
      <c r="J398" s="4" t="n">
        <v>1</v>
      </c>
      <c r="K398" s="5" t="n">
        <v>0.35</v>
      </c>
      <c r="L398" s="4" t="n">
        <v>0</v>
      </c>
      <c r="M398" s="6" t="n">
        <f aca="false">$R$2 + SUMPRODUCT(B398:K398,$S$2:$AB$2)</f>
        <v>-1.1612472</v>
      </c>
      <c r="N398" s="6" t="n">
        <f aca="false">1/(1+EXP(-M398))</f>
        <v>0.238440736285876</v>
      </c>
      <c r="O398" s="6" t="n">
        <f aca="false">IF(L398=1,N398,1-N398)</f>
        <v>0.761559263714124</v>
      </c>
      <c r="P398" s="6" t="n">
        <f aca="false">LN(O398)</f>
        <v>-0.272387284705823</v>
      </c>
      <c r="AD398" s="8" t="n">
        <f aca="false">B398</f>
        <v>35</v>
      </c>
      <c r="AE398" s="8" t="n">
        <f aca="false">C398</f>
        <v>50800</v>
      </c>
      <c r="AF398" s="8" t="n">
        <f aca="false">D398</f>
        <v>4</v>
      </c>
      <c r="AG398" s="9" t="n">
        <f aca="false">E398*0.85</f>
        <v>61.659</v>
      </c>
      <c r="AH398" s="9" t="n">
        <f aca="false">F398*0.9</f>
        <v>0.9</v>
      </c>
      <c r="AI398" s="9" t="n">
        <f aca="false">G398</f>
        <v>0.33</v>
      </c>
      <c r="AJ398" s="9" t="n">
        <f aca="false">H398*1.2</f>
        <v>252</v>
      </c>
      <c r="AK398" s="8" t="n">
        <f aca="false">I398</f>
        <v>0</v>
      </c>
      <c r="AL398" s="8" t="n">
        <f aca="false">J398</f>
        <v>1</v>
      </c>
      <c r="AM398" s="9" t="n">
        <f aca="false">K398</f>
        <v>0.35</v>
      </c>
      <c r="AN398" s="6" t="n">
        <f aca="false">$R$2 + SUMPRODUCT(AD398:AM398,$S$2:$AB$2)</f>
        <v>-1.560853973</v>
      </c>
      <c r="AO398" s="6" t="n">
        <f aca="false">1/(1+EXP(-AN398))</f>
        <v>0.173524141603056</v>
      </c>
    </row>
    <row r="399" customFormat="false" ht="15" hidden="false" customHeight="false" outlineLevel="0" collapsed="false">
      <c r="A399" s="3" t="s">
        <v>463</v>
      </c>
      <c r="B399" s="4" t="n">
        <v>42</v>
      </c>
      <c r="C399" s="4" t="n">
        <v>67500</v>
      </c>
      <c r="D399" s="4" t="n">
        <v>6</v>
      </c>
      <c r="E399" s="5" t="n">
        <v>69.39</v>
      </c>
      <c r="F399" s="4" t="n">
        <v>2</v>
      </c>
      <c r="G399" s="5" t="n">
        <v>0.58</v>
      </c>
      <c r="H399" s="4" t="n">
        <v>116</v>
      </c>
      <c r="I399" s="4" t="n">
        <v>0</v>
      </c>
      <c r="J399" s="4" t="n">
        <v>0</v>
      </c>
      <c r="K399" s="5" t="n">
        <v>0.44</v>
      </c>
      <c r="L399" s="4" t="n">
        <v>1</v>
      </c>
      <c r="M399" s="6" t="n">
        <f aca="false">$R$2 + SUMPRODUCT(B399:K399,$S$2:$AB$2)</f>
        <v>0.0210855700000003</v>
      </c>
      <c r="N399" s="6" t="n">
        <f aca="false">1/(1+EXP(-M399))</f>
        <v>0.505271197203036</v>
      </c>
      <c r="O399" s="6" t="n">
        <f aca="false">IF(L399=1,N399,1-N399)</f>
        <v>0.505271197203036</v>
      </c>
      <c r="P399" s="6" t="n">
        <f aca="false">LN(O399)</f>
        <v>-0.682659969688221</v>
      </c>
      <c r="AD399" s="8" t="n">
        <f aca="false">B399</f>
        <v>42</v>
      </c>
      <c r="AE399" s="8" t="n">
        <f aca="false">C399</f>
        <v>67500</v>
      </c>
      <c r="AF399" s="8" t="n">
        <f aca="false">D399</f>
        <v>6</v>
      </c>
      <c r="AG399" s="9" t="n">
        <f aca="false">E399*0.85</f>
        <v>58.9815</v>
      </c>
      <c r="AH399" s="9" t="n">
        <f aca="false">F399*0.9</f>
        <v>1.8</v>
      </c>
      <c r="AI399" s="9" t="n">
        <f aca="false">G399</f>
        <v>0.58</v>
      </c>
      <c r="AJ399" s="9" t="n">
        <f aca="false">H399*1.2</f>
        <v>139.2</v>
      </c>
      <c r="AK399" s="8" t="n">
        <f aca="false">I399</f>
        <v>0</v>
      </c>
      <c r="AL399" s="8" t="n">
        <f aca="false">J399</f>
        <v>0</v>
      </c>
      <c r="AM399" s="9" t="n">
        <f aca="false">K399</f>
        <v>0.44</v>
      </c>
      <c r="AN399" s="6" t="n">
        <f aca="false">$R$2 + SUMPRODUCT(AD399:AM399,$S$2:$AB$2)</f>
        <v>-0.2755300105</v>
      </c>
      <c r="AO399" s="6" t="n">
        <f aca="false">1/(1+EXP(-AN399))</f>
        <v>0.431549992495691</v>
      </c>
    </row>
    <row r="400" customFormat="false" ht="15" hidden="false" customHeight="false" outlineLevel="0" collapsed="false">
      <c r="A400" s="3" t="s">
        <v>464</v>
      </c>
      <c r="B400" s="4" t="n">
        <v>59</v>
      </c>
      <c r="C400" s="4" t="n">
        <v>88300</v>
      </c>
      <c r="D400" s="4" t="n">
        <v>6</v>
      </c>
      <c r="E400" s="5" t="n">
        <v>18.91</v>
      </c>
      <c r="F400" s="4" t="n">
        <v>5</v>
      </c>
      <c r="G400" s="5" t="n">
        <v>0.41</v>
      </c>
      <c r="H400" s="4" t="n">
        <v>23</v>
      </c>
      <c r="I400" s="4" t="n">
        <v>0</v>
      </c>
      <c r="J400" s="4" t="n">
        <v>0</v>
      </c>
      <c r="K400" s="5" t="n">
        <v>0.16</v>
      </c>
      <c r="L400" s="4" t="n">
        <v>1</v>
      </c>
      <c r="M400" s="6" t="n">
        <f aca="false">$R$2 + SUMPRODUCT(B400:K400,$S$2:$AB$2)</f>
        <v>-0.0908035799999993</v>
      </c>
      <c r="N400" s="6" t="n">
        <f aca="false">1/(1+EXP(-M400))</f>
        <v>0.477314690105232</v>
      </c>
      <c r="O400" s="6" t="n">
        <f aca="false">IF(L400=1,N400,1-N400)</f>
        <v>0.477314690105232</v>
      </c>
      <c r="P400" s="6" t="n">
        <f aca="false">LN(O400)</f>
        <v>-0.739579277934513</v>
      </c>
      <c r="AD400" s="8" t="n">
        <f aca="false">B400</f>
        <v>59</v>
      </c>
      <c r="AE400" s="8" t="n">
        <f aca="false">C400</f>
        <v>88300</v>
      </c>
      <c r="AF400" s="8" t="n">
        <f aca="false">D400</f>
        <v>6</v>
      </c>
      <c r="AG400" s="9" t="n">
        <f aca="false">E400*0.85</f>
        <v>16.0735</v>
      </c>
      <c r="AH400" s="9" t="n">
        <f aca="false">F400*0.9</f>
        <v>4.5</v>
      </c>
      <c r="AI400" s="9" t="n">
        <f aca="false">G400</f>
        <v>0.41</v>
      </c>
      <c r="AJ400" s="9" t="n">
        <f aca="false">H400*1.2</f>
        <v>27.6</v>
      </c>
      <c r="AK400" s="8" t="n">
        <f aca="false">I400</f>
        <v>0</v>
      </c>
      <c r="AL400" s="8" t="n">
        <f aca="false">J400</f>
        <v>0</v>
      </c>
      <c r="AM400" s="9" t="n">
        <f aca="false">K400</f>
        <v>0.16</v>
      </c>
      <c r="AN400" s="6" t="n">
        <f aca="false">$R$2 + SUMPRODUCT(AD400:AM400,$S$2:$AB$2)</f>
        <v>-0.2134245845</v>
      </c>
      <c r="AO400" s="6" t="n">
        <f aca="false">1/(1+EXP(-AN400))</f>
        <v>0.446845466851444</v>
      </c>
    </row>
    <row r="401" customFormat="false" ht="15" hidden="false" customHeight="false" outlineLevel="0" collapsed="false">
      <c r="A401" s="3" t="s">
        <v>465</v>
      </c>
      <c r="B401" s="4" t="n">
        <v>48</v>
      </c>
      <c r="C401" s="4" t="n">
        <v>75300</v>
      </c>
      <c r="D401" s="4" t="n">
        <v>9</v>
      </c>
      <c r="E401" s="5" t="n">
        <v>42.74</v>
      </c>
      <c r="F401" s="4" t="n">
        <v>3</v>
      </c>
      <c r="G401" s="5" t="n">
        <v>0.21</v>
      </c>
      <c r="H401" s="4" t="n">
        <v>98</v>
      </c>
      <c r="I401" s="4" t="n">
        <v>0</v>
      </c>
      <c r="J401" s="4" t="n">
        <v>1</v>
      </c>
      <c r="K401" s="5" t="n">
        <v>0.16</v>
      </c>
      <c r="L401" s="4" t="n">
        <v>1</v>
      </c>
      <c r="M401" s="6" t="n">
        <f aca="false">$R$2 + SUMPRODUCT(B401:K401,$S$2:$AB$2)</f>
        <v>0.25940661</v>
      </c>
      <c r="N401" s="6" t="n">
        <f aca="false">1/(1+EXP(-M401))</f>
        <v>0.564490417806922</v>
      </c>
      <c r="O401" s="6" t="n">
        <f aca="false">IF(L401=1,N401,1-N401)</f>
        <v>0.564490417806922</v>
      </c>
      <c r="P401" s="6" t="n">
        <f aca="false">LN(O401)</f>
        <v>-0.571831870192077</v>
      </c>
      <c r="AD401" s="8" t="n">
        <f aca="false">B401</f>
        <v>48</v>
      </c>
      <c r="AE401" s="8" t="n">
        <f aca="false">C401</f>
        <v>75300</v>
      </c>
      <c r="AF401" s="8" t="n">
        <f aca="false">D401</f>
        <v>9</v>
      </c>
      <c r="AG401" s="9" t="n">
        <f aca="false">E401*0.85</f>
        <v>36.329</v>
      </c>
      <c r="AH401" s="9" t="n">
        <f aca="false">F401*0.9</f>
        <v>2.7</v>
      </c>
      <c r="AI401" s="9" t="n">
        <f aca="false">G401</f>
        <v>0.21</v>
      </c>
      <c r="AJ401" s="9" t="n">
        <f aca="false">H401*1.2</f>
        <v>117.6</v>
      </c>
      <c r="AK401" s="8" t="n">
        <f aca="false">I401</f>
        <v>0</v>
      </c>
      <c r="AL401" s="8" t="n">
        <f aca="false">J401</f>
        <v>1</v>
      </c>
      <c r="AM401" s="9" t="n">
        <f aca="false">K401</f>
        <v>0.16</v>
      </c>
      <c r="AN401" s="6" t="n">
        <f aca="false">$R$2 + SUMPRODUCT(AD401:AM401,$S$2:$AB$2)</f>
        <v>0.0256119470000007</v>
      </c>
      <c r="AO401" s="6" t="n">
        <f aca="false">1/(1+EXP(-AN401))</f>
        <v>0.506402636758048</v>
      </c>
    </row>
    <row r="402" customFormat="false" ht="15" hidden="false" customHeight="false" outlineLevel="0" collapsed="false">
      <c r="A402" s="3" t="s">
        <v>466</v>
      </c>
      <c r="B402" s="4" t="n">
        <v>20</v>
      </c>
      <c r="C402" s="4" t="n">
        <v>50200</v>
      </c>
      <c r="D402" s="4" t="n">
        <v>9</v>
      </c>
      <c r="E402" s="5" t="n">
        <v>63.4</v>
      </c>
      <c r="F402" s="4" t="n">
        <v>5</v>
      </c>
      <c r="G402" s="5" t="n">
        <v>0.4</v>
      </c>
      <c r="H402" s="4" t="n">
        <v>328</v>
      </c>
      <c r="I402" s="4" t="n">
        <v>0</v>
      </c>
      <c r="J402" s="4" t="n">
        <v>0</v>
      </c>
      <c r="K402" s="5" t="n">
        <v>0.04</v>
      </c>
      <c r="L402" s="4" t="n">
        <v>1</v>
      </c>
      <c r="M402" s="6" t="n">
        <f aca="false">$R$2 + SUMPRODUCT(B402:K402,$S$2:$AB$2)</f>
        <v>-1.26219408</v>
      </c>
      <c r="N402" s="6" t="n">
        <f aca="false">1/(1+EXP(-M402))</f>
        <v>0.220596424805723</v>
      </c>
      <c r="O402" s="6" t="n">
        <f aca="false">IF(L402=1,N402,1-N402)</f>
        <v>0.220596424805723</v>
      </c>
      <c r="P402" s="6" t="n">
        <f aca="false">LN(O402)</f>
        <v>-1.5114203789771</v>
      </c>
      <c r="AD402" s="8" t="n">
        <f aca="false">B402</f>
        <v>20</v>
      </c>
      <c r="AE402" s="8" t="n">
        <f aca="false">C402</f>
        <v>50200</v>
      </c>
      <c r="AF402" s="8" t="n">
        <f aca="false">D402</f>
        <v>9</v>
      </c>
      <c r="AG402" s="9" t="n">
        <f aca="false">E402*0.85</f>
        <v>53.89</v>
      </c>
      <c r="AH402" s="9" t="n">
        <f aca="false">F402*0.9</f>
        <v>4.5</v>
      </c>
      <c r="AI402" s="9" t="n">
        <f aca="false">G402</f>
        <v>0.4</v>
      </c>
      <c r="AJ402" s="9" t="n">
        <f aca="false">H402*1.2</f>
        <v>393.6</v>
      </c>
      <c r="AK402" s="8" t="n">
        <f aca="false">I402</f>
        <v>0</v>
      </c>
      <c r="AL402" s="8" t="n">
        <f aca="false">J402</f>
        <v>0</v>
      </c>
      <c r="AM402" s="9" t="n">
        <f aca="false">K402</f>
        <v>0.04</v>
      </c>
      <c r="AN402" s="6" t="n">
        <f aca="false">$R$2 + SUMPRODUCT(AD402:AM402,$S$2:$AB$2)</f>
        <v>-1.82569821</v>
      </c>
      <c r="AO402" s="6" t="n">
        <f aca="false">1/(1+EXP(-AN402))</f>
        <v>0.138751536721354</v>
      </c>
    </row>
    <row r="403" customFormat="false" ht="15" hidden="false" customHeight="false" outlineLevel="0" collapsed="false">
      <c r="A403" s="3" t="s">
        <v>467</v>
      </c>
      <c r="B403" s="4" t="n">
        <v>57</v>
      </c>
      <c r="C403" s="4" t="n">
        <v>35100</v>
      </c>
      <c r="D403" s="4" t="n">
        <v>5</v>
      </c>
      <c r="E403" s="5" t="n">
        <v>78.41</v>
      </c>
      <c r="F403" s="4" t="n">
        <v>4</v>
      </c>
      <c r="G403" s="5" t="n">
        <v>0.4</v>
      </c>
      <c r="H403" s="4" t="n">
        <v>313</v>
      </c>
      <c r="I403" s="4" t="n">
        <v>0</v>
      </c>
      <c r="J403" s="4" t="n">
        <v>1</v>
      </c>
      <c r="K403" s="5" t="n">
        <v>0.4</v>
      </c>
      <c r="L403" s="4" t="n">
        <v>0</v>
      </c>
      <c r="M403" s="6" t="n">
        <f aca="false">$R$2 + SUMPRODUCT(B403:K403,$S$2:$AB$2)</f>
        <v>-1.58046887</v>
      </c>
      <c r="N403" s="6" t="n">
        <f aca="false">1/(1+EXP(-M403))</f>
        <v>0.170729088846095</v>
      </c>
      <c r="O403" s="6" t="n">
        <f aca="false">IF(L403=1,N403,1-N403)</f>
        <v>0.829270911153905</v>
      </c>
      <c r="P403" s="6" t="n">
        <f aca="false">LN(O403)</f>
        <v>-0.187208384525188</v>
      </c>
      <c r="AD403" s="8" t="n">
        <f aca="false">B403</f>
        <v>57</v>
      </c>
      <c r="AE403" s="8" t="n">
        <f aca="false">C403</f>
        <v>35100</v>
      </c>
      <c r="AF403" s="8" t="n">
        <f aca="false">D403</f>
        <v>5</v>
      </c>
      <c r="AG403" s="9" t="n">
        <f aca="false">E403*0.85</f>
        <v>66.6485</v>
      </c>
      <c r="AH403" s="9" t="n">
        <f aca="false">F403*0.9</f>
        <v>3.6</v>
      </c>
      <c r="AI403" s="9" t="n">
        <f aca="false">G403</f>
        <v>0.4</v>
      </c>
      <c r="AJ403" s="9" t="n">
        <f aca="false">H403*1.2</f>
        <v>375.6</v>
      </c>
      <c r="AK403" s="8" t="n">
        <f aca="false">I403</f>
        <v>0</v>
      </c>
      <c r="AL403" s="8" t="n">
        <f aca="false">J403</f>
        <v>1</v>
      </c>
      <c r="AM403" s="9" t="n">
        <f aca="false">K403</f>
        <v>0.4</v>
      </c>
      <c r="AN403" s="6" t="n">
        <f aca="false">$R$2 + SUMPRODUCT(AD403:AM403,$S$2:$AB$2)</f>
        <v>-2.1453370995</v>
      </c>
      <c r="AO403" s="6" t="n">
        <f aca="false">1/(1+EXP(-AN403))</f>
        <v>0.104767758140815</v>
      </c>
    </row>
    <row r="404" customFormat="false" ht="15" hidden="false" customHeight="false" outlineLevel="0" collapsed="false">
      <c r="A404" s="3" t="s">
        <v>468</v>
      </c>
      <c r="B404" s="4" t="n">
        <v>63</v>
      </c>
      <c r="C404" s="4" t="n">
        <v>101300</v>
      </c>
      <c r="D404" s="4" t="n">
        <v>7</v>
      </c>
      <c r="E404" s="5" t="n">
        <v>10.1</v>
      </c>
      <c r="F404" s="4" t="n">
        <v>5</v>
      </c>
      <c r="G404" s="5" t="n">
        <v>0.7</v>
      </c>
      <c r="H404" s="4" t="n">
        <v>190</v>
      </c>
      <c r="I404" s="4" t="n">
        <v>1</v>
      </c>
      <c r="J404" s="4" t="n">
        <v>1</v>
      </c>
      <c r="K404" s="5" t="n">
        <v>0.28</v>
      </c>
      <c r="L404" s="4" t="n">
        <v>0</v>
      </c>
      <c r="M404" s="6" t="n">
        <f aca="false">$R$2 + SUMPRODUCT(B404:K404,$S$2:$AB$2)</f>
        <v>1.24146824</v>
      </c>
      <c r="N404" s="6" t="n">
        <f aca="false">1/(1+EXP(-M404))</f>
        <v>0.775819479286904</v>
      </c>
      <c r="O404" s="6" t="n">
        <f aca="false">IF(L404=1,N404,1-N404)</f>
        <v>0.224180520713096</v>
      </c>
      <c r="P404" s="6" t="n">
        <f aca="false">LN(O404)</f>
        <v>-1.49530365564634</v>
      </c>
      <c r="AD404" s="8" t="n">
        <f aca="false">B404</f>
        <v>63</v>
      </c>
      <c r="AE404" s="8" t="n">
        <f aca="false">C404</f>
        <v>101300</v>
      </c>
      <c r="AF404" s="8" t="n">
        <f aca="false">D404</f>
        <v>7</v>
      </c>
      <c r="AG404" s="9" t="n">
        <f aca="false">E404*0.85</f>
        <v>8.585</v>
      </c>
      <c r="AH404" s="9" t="n">
        <f aca="false">F404*0.9</f>
        <v>4.5</v>
      </c>
      <c r="AI404" s="9" t="n">
        <f aca="false">G404</f>
        <v>0.7</v>
      </c>
      <c r="AJ404" s="9" t="n">
        <f aca="false">H404*1.2</f>
        <v>228</v>
      </c>
      <c r="AK404" s="8" t="n">
        <f aca="false">I404</f>
        <v>1</v>
      </c>
      <c r="AL404" s="8" t="n">
        <f aca="false">J404</f>
        <v>1</v>
      </c>
      <c r="AM404" s="9" t="n">
        <f aca="false">K404</f>
        <v>0.28</v>
      </c>
      <c r="AN404" s="6" t="n">
        <f aca="false">$R$2 + SUMPRODUCT(AD404:AM404,$S$2:$AB$2)</f>
        <v>0.944281745000001</v>
      </c>
      <c r="AO404" s="6" t="n">
        <f aca="false">1/(1+EXP(-AN404))</f>
        <v>0.719963738014894</v>
      </c>
    </row>
    <row r="405" customFormat="false" ht="15" hidden="false" customHeight="false" outlineLevel="0" collapsed="false">
      <c r="A405" s="3" t="s">
        <v>469</v>
      </c>
      <c r="B405" s="4" t="n">
        <v>41</v>
      </c>
      <c r="C405" s="4" t="n">
        <v>56100</v>
      </c>
      <c r="D405" s="4" t="n">
        <v>10</v>
      </c>
      <c r="E405" s="5" t="n">
        <v>60.95</v>
      </c>
      <c r="F405" s="4" t="n">
        <v>5</v>
      </c>
      <c r="G405" s="5" t="n">
        <v>0.79</v>
      </c>
      <c r="H405" s="4" t="n">
        <v>182</v>
      </c>
      <c r="I405" s="4" t="n">
        <v>1</v>
      </c>
      <c r="J405" s="4" t="n">
        <v>0</v>
      </c>
      <c r="K405" s="5" t="n">
        <v>0.05</v>
      </c>
      <c r="L405" s="4" t="n">
        <v>0</v>
      </c>
      <c r="M405" s="6" t="n">
        <f aca="false">$R$2 + SUMPRODUCT(B405:K405,$S$2:$AB$2)</f>
        <v>1.00872209</v>
      </c>
      <c r="N405" s="6" t="n">
        <f aca="false">1/(1+EXP(-M405))</f>
        <v>0.732769985735022</v>
      </c>
      <c r="O405" s="6" t="n">
        <f aca="false">IF(L405=1,N405,1-N405)</f>
        <v>0.267230014264978</v>
      </c>
      <c r="P405" s="6" t="n">
        <f aca="false">LN(O405)</f>
        <v>-1.31964551479206</v>
      </c>
      <c r="AD405" s="8" t="n">
        <f aca="false">B405</f>
        <v>41</v>
      </c>
      <c r="AE405" s="8" t="n">
        <f aca="false">C405</f>
        <v>56100</v>
      </c>
      <c r="AF405" s="8" t="n">
        <f aca="false">D405</f>
        <v>10</v>
      </c>
      <c r="AG405" s="9" t="n">
        <f aca="false">E405*0.85</f>
        <v>51.8075</v>
      </c>
      <c r="AH405" s="9" t="n">
        <f aca="false">F405*0.9</f>
        <v>4.5</v>
      </c>
      <c r="AI405" s="9" t="n">
        <f aca="false">G405</f>
        <v>0.79</v>
      </c>
      <c r="AJ405" s="9" t="n">
        <f aca="false">H405*1.2</f>
        <v>218.4</v>
      </c>
      <c r="AK405" s="8" t="n">
        <f aca="false">I405</f>
        <v>1</v>
      </c>
      <c r="AL405" s="8" t="n">
        <f aca="false">J405</f>
        <v>0</v>
      </c>
      <c r="AM405" s="9" t="n">
        <f aca="false">K405</f>
        <v>0.05</v>
      </c>
      <c r="AN405" s="6" t="n">
        <f aca="false">$R$2 + SUMPRODUCT(AD405:AM405,$S$2:$AB$2)</f>
        <v>0.6182881875</v>
      </c>
      <c r="AO405" s="6" t="n">
        <f aca="false">1/(1+EXP(-AN405))</f>
        <v>0.649829123502092</v>
      </c>
    </row>
    <row r="406" customFormat="false" ht="15" hidden="false" customHeight="false" outlineLevel="0" collapsed="false">
      <c r="A406" s="3" t="s">
        <v>470</v>
      </c>
      <c r="B406" s="4" t="n">
        <v>67</v>
      </c>
      <c r="C406" s="4" t="n">
        <v>55300</v>
      </c>
      <c r="D406" s="4" t="n">
        <v>2</v>
      </c>
      <c r="E406" s="5" t="n">
        <v>68.58</v>
      </c>
      <c r="F406" s="4" t="n">
        <v>3</v>
      </c>
      <c r="G406" s="5" t="n">
        <v>0.64</v>
      </c>
      <c r="H406" s="4" t="n">
        <v>148</v>
      </c>
      <c r="I406" s="4" t="n">
        <v>0</v>
      </c>
      <c r="J406" s="4" t="n">
        <v>1</v>
      </c>
      <c r="K406" s="5" t="n">
        <v>0.08</v>
      </c>
      <c r="L406" s="4" t="n">
        <v>0</v>
      </c>
      <c r="M406" s="6" t="n">
        <f aca="false">$R$2 + SUMPRODUCT(B406:K406,$S$2:$AB$2)</f>
        <v>-1.06457478</v>
      </c>
      <c r="N406" s="6" t="n">
        <f aca="false">1/(1+EXP(-M406))</f>
        <v>0.256436179377736</v>
      </c>
      <c r="O406" s="6" t="n">
        <f aca="false">IF(L406=1,N406,1-N406)</f>
        <v>0.743563820622264</v>
      </c>
      <c r="P406" s="6" t="n">
        <f aca="false">LN(O406)</f>
        <v>-0.296300678672647</v>
      </c>
      <c r="AD406" s="8" t="n">
        <f aca="false">B406</f>
        <v>67</v>
      </c>
      <c r="AE406" s="8" t="n">
        <f aca="false">C406</f>
        <v>55300</v>
      </c>
      <c r="AF406" s="8" t="n">
        <f aca="false">D406</f>
        <v>2</v>
      </c>
      <c r="AG406" s="9" t="n">
        <f aca="false">E406*0.85</f>
        <v>58.293</v>
      </c>
      <c r="AH406" s="9" t="n">
        <f aca="false">F406*0.9</f>
        <v>2.7</v>
      </c>
      <c r="AI406" s="9" t="n">
        <f aca="false">G406</f>
        <v>0.64</v>
      </c>
      <c r="AJ406" s="9" t="n">
        <f aca="false">H406*1.2</f>
        <v>177.6</v>
      </c>
      <c r="AK406" s="8" t="n">
        <f aca="false">I406</f>
        <v>0</v>
      </c>
      <c r="AL406" s="8" t="n">
        <f aca="false">J406</f>
        <v>1</v>
      </c>
      <c r="AM406" s="9" t="n">
        <f aca="false">K406</f>
        <v>0.08</v>
      </c>
      <c r="AN406" s="6" t="n">
        <f aca="false">$R$2 + SUMPRODUCT(AD406:AM406,$S$2:$AB$2)</f>
        <v>-1.408015751</v>
      </c>
      <c r="AO406" s="6" t="n">
        <f aca="false">1/(1+EXP(-AN406))</f>
        <v>0.196547213174232</v>
      </c>
    </row>
    <row r="407" customFormat="false" ht="15" hidden="false" customHeight="false" outlineLevel="0" collapsed="false">
      <c r="A407" s="3" t="s">
        <v>471</v>
      </c>
      <c r="B407" s="4" t="n">
        <v>49</v>
      </c>
      <c r="C407" s="4" t="n">
        <v>54600</v>
      </c>
      <c r="D407" s="4" t="n">
        <v>5</v>
      </c>
      <c r="E407" s="5" t="n">
        <v>86.24</v>
      </c>
      <c r="F407" s="4" t="n">
        <v>6</v>
      </c>
      <c r="G407" s="5" t="n">
        <v>0.13</v>
      </c>
      <c r="H407" s="4" t="n">
        <v>342</v>
      </c>
      <c r="I407" s="4" t="n">
        <v>0</v>
      </c>
      <c r="J407" s="4" t="n">
        <v>1</v>
      </c>
      <c r="K407" s="5" t="n">
        <v>0.17</v>
      </c>
      <c r="L407" s="4" t="n">
        <v>0</v>
      </c>
      <c r="M407" s="6" t="n">
        <f aca="false">$R$2 + SUMPRODUCT(B407:K407,$S$2:$AB$2)</f>
        <v>-1.57740924</v>
      </c>
      <c r="N407" s="6" t="n">
        <f aca="false">1/(1+EXP(-M407))</f>
        <v>0.171162709814416</v>
      </c>
      <c r="O407" s="6" t="n">
        <f aca="false">IF(L407=1,N407,1-N407)</f>
        <v>0.828837290185584</v>
      </c>
      <c r="P407" s="6" t="n">
        <f aca="false">LN(O407)</f>
        <v>-0.187731415504536</v>
      </c>
      <c r="AD407" s="8" t="n">
        <f aca="false">B407</f>
        <v>49</v>
      </c>
      <c r="AE407" s="8" t="n">
        <f aca="false">C407</f>
        <v>54600</v>
      </c>
      <c r="AF407" s="8" t="n">
        <f aca="false">D407</f>
        <v>5</v>
      </c>
      <c r="AG407" s="9" t="n">
        <f aca="false">E407*0.85</f>
        <v>73.304</v>
      </c>
      <c r="AH407" s="9" t="n">
        <f aca="false">F407*0.9</f>
        <v>5.4</v>
      </c>
      <c r="AI407" s="9" t="n">
        <f aca="false">G407</f>
        <v>0.13</v>
      </c>
      <c r="AJ407" s="9" t="n">
        <f aca="false">H407*1.2</f>
        <v>410.4</v>
      </c>
      <c r="AK407" s="8" t="n">
        <f aca="false">I407</f>
        <v>0</v>
      </c>
      <c r="AL407" s="8" t="n">
        <f aca="false">J407</f>
        <v>1</v>
      </c>
      <c r="AM407" s="9" t="n">
        <f aca="false">K407</f>
        <v>0.17</v>
      </c>
      <c r="AN407" s="6" t="n">
        <f aca="false">$R$2 + SUMPRODUCT(AD407:AM407,$S$2:$AB$2)</f>
        <v>-2.214663528</v>
      </c>
      <c r="AO407" s="6" t="n">
        <f aca="false">1/(1+EXP(-AN407))</f>
        <v>0.0984414060369271</v>
      </c>
    </row>
    <row r="408" customFormat="false" ht="15" hidden="false" customHeight="false" outlineLevel="0" collapsed="false">
      <c r="A408" s="3" t="s">
        <v>472</v>
      </c>
      <c r="B408" s="4" t="n">
        <v>64</v>
      </c>
      <c r="C408" s="4" t="n">
        <v>58600</v>
      </c>
      <c r="D408" s="4" t="n">
        <v>5</v>
      </c>
      <c r="E408" s="5" t="n">
        <v>82.32</v>
      </c>
      <c r="F408" s="4" t="n">
        <v>6</v>
      </c>
      <c r="G408" s="5" t="n">
        <v>0.17</v>
      </c>
      <c r="H408" s="4" t="n">
        <v>23</v>
      </c>
      <c r="I408" s="4" t="n">
        <v>0</v>
      </c>
      <c r="J408" s="4" t="n">
        <v>1</v>
      </c>
      <c r="K408" s="5" t="n">
        <v>0.24</v>
      </c>
      <c r="L408" s="4" t="n">
        <v>1</v>
      </c>
      <c r="M408" s="6" t="n">
        <f aca="false">$R$2 + SUMPRODUCT(B408:K408,$S$2:$AB$2)</f>
        <v>0.27160355</v>
      </c>
      <c r="N408" s="6" t="n">
        <f aca="false">1/(1+EXP(-M408))</f>
        <v>0.567486531719244</v>
      </c>
      <c r="O408" s="6" t="n">
        <f aca="false">IF(L408=1,N408,1-N408)</f>
        <v>0.567486531719244</v>
      </c>
      <c r="P408" s="6" t="n">
        <f aca="false">LN(O408)</f>
        <v>-0.566538262561519</v>
      </c>
      <c r="AD408" s="8" t="n">
        <f aca="false">B408</f>
        <v>64</v>
      </c>
      <c r="AE408" s="8" t="n">
        <f aca="false">C408</f>
        <v>58600</v>
      </c>
      <c r="AF408" s="8" t="n">
        <f aca="false">D408</f>
        <v>5</v>
      </c>
      <c r="AG408" s="9" t="n">
        <f aca="false">E408*0.85</f>
        <v>69.972</v>
      </c>
      <c r="AH408" s="9" t="n">
        <f aca="false">F408*0.9</f>
        <v>5.4</v>
      </c>
      <c r="AI408" s="9" t="n">
        <f aca="false">G408</f>
        <v>0.17</v>
      </c>
      <c r="AJ408" s="9" t="n">
        <f aca="false">H408*1.2</f>
        <v>27.6</v>
      </c>
      <c r="AK408" s="8" t="n">
        <f aca="false">I408</f>
        <v>0</v>
      </c>
      <c r="AL408" s="8" t="n">
        <f aca="false">J408</f>
        <v>1</v>
      </c>
      <c r="AM408" s="9" t="n">
        <f aca="false">K408</f>
        <v>0.24</v>
      </c>
      <c r="AN408" s="6" t="n">
        <f aca="false">$R$2 + SUMPRODUCT(AD408:AM408,$S$2:$AB$2)</f>
        <v>0.00960826600000075</v>
      </c>
      <c r="AO408" s="6" t="n">
        <f aca="false">1/(1+EXP(-AN408))</f>
        <v>0.502402048020518</v>
      </c>
    </row>
    <row r="409" customFormat="false" ht="15" hidden="false" customHeight="false" outlineLevel="0" collapsed="false">
      <c r="A409" s="3" t="s">
        <v>473</v>
      </c>
      <c r="B409" s="4" t="n">
        <v>39</v>
      </c>
      <c r="C409" s="4" t="n">
        <v>52400</v>
      </c>
      <c r="D409" s="4" t="n">
        <v>5</v>
      </c>
      <c r="E409" s="5" t="n">
        <v>79.56</v>
      </c>
      <c r="F409" s="4" t="n">
        <v>4</v>
      </c>
      <c r="G409" s="5" t="n">
        <v>0.22</v>
      </c>
      <c r="H409" s="4" t="n">
        <v>105</v>
      </c>
      <c r="I409" s="4" t="n">
        <v>1</v>
      </c>
      <c r="J409" s="4" t="n">
        <v>1</v>
      </c>
      <c r="K409" s="5" t="n">
        <v>0.25</v>
      </c>
      <c r="L409" s="4" t="n">
        <v>1</v>
      </c>
      <c r="M409" s="6" t="n">
        <f aca="false">$R$2 + SUMPRODUCT(B409:K409,$S$2:$AB$2)</f>
        <v>0.49502235</v>
      </c>
      <c r="N409" s="6" t="n">
        <f aca="false">1/(1+EXP(-M409))</f>
        <v>0.621288853914784</v>
      </c>
      <c r="O409" s="6" t="n">
        <f aca="false">IF(L409=1,N409,1-N409)</f>
        <v>0.621288853914784</v>
      </c>
      <c r="P409" s="6" t="n">
        <f aca="false">LN(O409)</f>
        <v>-0.475959162014206</v>
      </c>
      <c r="AD409" s="8" t="n">
        <f aca="false">B409</f>
        <v>39</v>
      </c>
      <c r="AE409" s="8" t="n">
        <f aca="false">C409</f>
        <v>52400</v>
      </c>
      <c r="AF409" s="8" t="n">
        <f aca="false">D409</f>
        <v>5</v>
      </c>
      <c r="AG409" s="9" t="n">
        <f aca="false">E409*0.85</f>
        <v>67.626</v>
      </c>
      <c r="AH409" s="9" t="n">
        <f aca="false">F409*0.9</f>
        <v>3.6</v>
      </c>
      <c r="AI409" s="9" t="n">
        <f aca="false">G409</f>
        <v>0.22</v>
      </c>
      <c r="AJ409" s="9" t="n">
        <f aca="false">H409*1.2</f>
        <v>126</v>
      </c>
      <c r="AK409" s="8" t="n">
        <f aca="false">I409</f>
        <v>1</v>
      </c>
      <c r="AL409" s="8" t="n">
        <f aca="false">J409</f>
        <v>1</v>
      </c>
      <c r="AM409" s="9" t="n">
        <f aca="false">K409</f>
        <v>0.25</v>
      </c>
      <c r="AN409" s="6" t="n">
        <f aca="false">$R$2 + SUMPRODUCT(AD409:AM409,$S$2:$AB$2)</f>
        <v>0.167369728000001</v>
      </c>
      <c r="AO409" s="6" t="n">
        <f aca="false">1/(1+EXP(-AN409))</f>
        <v>0.541745028477721</v>
      </c>
    </row>
    <row r="410" customFormat="false" ht="15" hidden="false" customHeight="false" outlineLevel="0" collapsed="false">
      <c r="A410" s="3" t="s">
        <v>474</v>
      </c>
      <c r="B410" s="4" t="n">
        <v>40</v>
      </c>
      <c r="C410" s="4" t="n">
        <v>44700</v>
      </c>
      <c r="D410" s="4" t="n">
        <v>7</v>
      </c>
      <c r="E410" s="5" t="n">
        <v>45</v>
      </c>
      <c r="F410" s="4" t="n">
        <v>2</v>
      </c>
      <c r="G410" s="5" t="n">
        <v>0.5</v>
      </c>
      <c r="H410" s="4" t="n">
        <v>163</v>
      </c>
      <c r="I410" s="4" t="n">
        <v>0</v>
      </c>
      <c r="J410" s="4" t="n">
        <v>1</v>
      </c>
      <c r="K410" s="5" t="n">
        <v>0.66</v>
      </c>
      <c r="L410" s="4" t="n">
        <v>1</v>
      </c>
      <c r="M410" s="6" t="n">
        <f aca="false">$R$2 + SUMPRODUCT(B410:K410,$S$2:$AB$2)</f>
        <v>-0.14139472</v>
      </c>
      <c r="N410" s="6" t="n">
        <f aca="false">1/(1+EXP(-M410))</f>
        <v>0.464710094773598</v>
      </c>
      <c r="O410" s="6" t="n">
        <f aca="false">IF(L410=1,N410,1-N410)</f>
        <v>0.464710094773598</v>
      </c>
      <c r="P410" s="6" t="n">
        <f aca="false">LN(O410)</f>
        <v>-0.766341519921646</v>
      </c>
      <c r="AD410" s="8" t="n">
        <f aca="false">B410</f>
        <v>40</v>
      </c>
      <c r="AE410" s="8" t="n">
        <f aca="false">C410</f>
        <v>44700</v>
      </c>
      <c r="AF410" s="8" t="n">
        <f aca="false">D410</f>
        <v>7</v>
      </c>
      <c r="AG410" s="9" t="n">
        <f aca="false">E410*0.85</f>
        <v>38.25</v>
      </c>
      <c r="AH410" s="9" t="n">
        <f aca="false">F410*0.9</f>
        <v>1.8</v>
      </c>
      <c r="AI410" s="9" t="n">
        <f aca="false">G410</f>
        <v>0.5</v>
      </c>
      <c r="AJ410" s="9" t="n">
        <f aca="false">H410*1.2</f>
        <v>195.6</v>
      </c>
      <c r="AK410" s="8" t="n">
        <f aca="false">I410</f>
        <v>0</v>
      </c>
      <c r="AL410" s="8" t="n">
        <f aca="false">J410</f>
        <v>1</v>
      </c>
      <c r="AM410" s="9" t="n">
        <f aca="false">K410</f>
        <v>0.66</v>
      </c>
      <c r="AN410" s="6" t="n">
        <f aca="false">$R$2 + SUMPRODUCT(AD410:AM410,$S$2:$AB$2)</f>
        <v>-0.44299087</v>
      </c>
      <c r="AO410" s="6" t="n">
        <f aca="false">1/(1+EXP(-AN410))</f>
        <v>0.39102853601184</v>
      </c>
    </row>
    <row r="411" customFormat="false" ht="15" hidden="false" customHeight="false" outlineLevel="0" collapsed="false">
      <c r="A411" s="3" t="s">
        <v>475</v>
      </c>
      <c r="B411" s="4" t="n">
        <v>19</v>
      </c>
      <c r="C411" s="4" t="n">
        <v>45200</v>
      </c>
      <c r="D411" s="4" t="n">
        <v>4</v>
      </c>
      <c r="E411" s="5" t="n">
        <v>17.3</v>
      </c>
      <c r="F411" s="4" t="n">
        <v>3</v>
      </c>
      <c r="G411" s="5" t="n">
        <v>0.4</v>
      </c>
      <c r="H411" s="4" t="n">
        <v>67</v>
      </c>
      <c r="I411" s="4" t="n">
        <v>1</v>
      </c>
      <c r="J411" s="4" t="n">
        <v>1</v>
      </c>
      <c r="K411" s="5" t="n">
        <v>0.03</v>
      </c>
      <c r="L411" s="4" t="n">
        <v>0</v>
      </c>
      <c r="M411" s="6" t="n">
        <f aca="false">$R$2 + SUMPRODUCT(B411:K411,$S$2:$AB$2)</f>
        <v>-0.31601871</v>
      </c>
      <c r="N411" s="6" t="n">
        <f aca="false">1/(1+EXP(-M411))</f>
        <v>0.421646323971349</v>
      </c>
      <c r="O411" s="6" t="n">
        <f aca="false">IF(L411=1,N411,1-N411)</f>
        <v>0.578353676028651</v>
      </c>
      <c r="P411" s="6" t="n">
        <f aca="false">LN(O411)</f>
        <v>-0.547569701198592</v>
      </c>
      <c r="AD411" s="8" t="n">
        <f aca="false">B411</f>
        <v>19</v>
      </c>
      <c r="AE411" s="8" t="n">
        <f aca="false">C411</f>
        <v>45200</v>
      </c>
      <c r="AF411" s="8" t="n">
        <f aca="false">D411</f>
        <v>4</v>
      </c>
      <c r="AG411" s="9" t="n">
        <f aca="false">E411*0.85</f>
        <v>14.705</v>
      </c>
      <c r="AH411" s="9" t="n">
        <f aca="false">F411*0.9</f>
        <v>2.7</v>
      </c>
      <c r="AI411" s="9" t="n">
        <f aca="false">G411</f>
        <v>0.4</v>
      </c>
      <c r="AJ411" s="9" t="n">
        <f aca="false">H411*1.2</f>
        <v>80.4</v>
      </c>
      <c r="AK411" s="8" t="n">
        <f aca="false">I411</f>
        <v>1</v>
      </c>
      <c r="AL411" s="8" t="n">
        <f aca="false">J411</f>
        <v>1</v>
      </c>
      <c r="AM411" s="9" t="n">
        <f aca="false">K411</f>
        <v>0.03</v>
      </c>
      <c r="AN411" s="6" t="n">
        <f aca="false">$R$2 + SUMPRODUCT(AD411:AM411,$S$2:$AB$2)</f>
        <v>-0.462853445</v>
      </c>
      <c r="AO411" s="6" t="n">
        <f aca="false">1/(1+EXP(-AN411))</f>
        <v>0.386309126072803</v>
      </c>
    </row>
    <row r="412" customFormat="false" ht="15" hidden="false" customHeight="false" outlineLevel="0" collapsed="false">
      <c r="A412" s="3" t="s">
        <v>476</v>
      </c>
      <c r="B412" s="4" t="n">
        <v>44</v>
      </c>
      <c r="C412" s="4" t="n">
        <v>54400</v>
      </c>
      <c r="D412" s="4" t="n">
        <v>7</v>
      </c>
      <c r="E412" s="5" t="n">
        <v>55.17</v>
      </c>
      <c r="F412" s="4" t="n">
        <v>5</v>
      </c>
      <c r="G412" s="5" t="n">
        <v>0.19</v>
      </c>
      <c r="H412" s="4" t="n">
        <v>290</v>
      </c>
      <c r="I412" s="4" t="n">
        <v>0</v>
      </c>
      <c r="J412" s="4" t="n">
        <v>1</v>
      </c>
      <c r="K412" s="5" t="n">
        <v>0.54</v>
      </c>
      <c r="L412" s="4" t="n">
        <v>0</v>
      </c>
      <c r="M412" s="6" t="n">
        <f aca="false">$R$2 + SUMPRODUCT(B412:K412,$S$2:$AB$2)</f>
        <v>-0.85959408</v>
      </c>
      <c r="N412" s="6" t="n">
        <f aca="false">1/(1+EXP(-M412))</f>
        <v>0.297424160952685</v>
      </c>
      <c r="O412" s="6" t="n">
        <f aca="false">IF(L412=1,N412,1-N412)</f>
        <v>0.702575839047315</v>
      </c>
      <c r="P412" s="6" t="n">
        <f aca="false">LN(O412)</f>
        <v>-0.353001927661821</v>
      </c>
      <c r="AD412" s="8" t="n">
        <f aca="false">B412</f>
        <v>44</v>
      </c>
      <c r="AE412" s="8" t="n">
        <f aca="false">C412</f>
        <v>54400</v>
      </c>
      <c r="AF412" s="8" t="n">
        <f aca="false">D412</f>
        <v>7</v>
      </c>
      <c r="AG412" s="9" t="n">
        <f aca="false">E412*0.85</f>
        <v>46.8945</v>
      </c>
      <c r="AH412" s="9" t="n">
        <f aca="false">F412*0.9</f>
        <v>4.5</v>
      </c>
      <c r="AI412" s="9" t="n">
        <f aca="false">G412</f>
        <v>0.19</v>
      </c>
      <c r="AJ412" s="9" t="n">
        <f aca="false">H412*1.2</f>
        <v>348</v>
      </c>
      <c r="AK412" s="8" t="n">
        <f aca="false">I412</f>
        <v>0</v>
      </c>
      <c r="AL412" s="8" t="n">
        <f aca="false">J412</f>
        <v>1</v>
      </c>
      <c r="AM412" s="9" t="n">
        <f aca="false">K412</f>
        <v>0.54</v>
      </c>
      <c r="AN412" s="6" t="n">
        <f aca="false">$R$2 + SUMPRODUCT(AD412:AM412,$S$2:$AB$2)</f>
        <v>-1.3627543715</v>
      </c>
      <c r="AO412" s="6" t="n">
        <f aca="false">1/(1+EXP(-AN412))</f>
        <v>0.203793009409395</v>
      </c>
    </row>
    <row r="413" customFormat="false" ht="15" hidden="false" customHeight="false" outlineLevel="0" collapsed="false">
      <c r="A413" s="3" t="s">
        <v>477</v>
      </c>
      <c r="B413" s="4" t="n">
        <v>59</v>
      </c>
      <c r="C413" s="4" t="n">
        <v>45200</v>
      </c>
      <c r="D413" s="4" t="n">
        <v>4</v>
      </c>
      <c r="E413" s="5" t="n">
        <v>90.04</v>
      </c>
      <c r="F413" s="4" t="n">
        <v>5</v>
      </c>
      <c r="G413" s="5" t="n">
        <v>0.03</v>
      </c>
      <c r="H413" s="4" t="n">
        <v>289</v>
      </c>
      <c r="I413" s="4" t="n">
        <v>0</v>
      </c>
      <c r="J413" s="4" t="n">
        <v>1</v>
      </c>
      <c r="K413" s="5" t="n">
        <v>0.07</v>
      </c>
      <c r="L413" s="4" t="n">
        <v>0</v>
      </c>
      <c r="M413" s="6" t="n">
        <f aca="false">$R$2 + SUMPRODUCT(B413:K413,$S$2:$AB$2)</f>
        <v>-2.13688224</v>
      </c>
      <c r="N413" s="6" t="n">
        <f aca="false">1/(1+EXP(-M413))</f>
        <v>0.105563405907376</v>
      </c>
      <c r="O413" s="6" t="n">
        <f aca="false">IF(L413=1,N413,1-N413)</f>
        <v>0.894436594092624</v>
      </c>
      <c r="P413" s="6" t="n">
        <f aca="false">LN(O413)</f>
        <v>-0.111561262735119</v>
      </c>
      <c r="AD413" s="8" t="n">
        <f aca="false">B413</f>
        <v>59</v>
      </c>
      <c r="AE413" s="8" t="n">
        <f aca="false">C413</f>
        <v>45200</v>
      </c>
      <c r="AF413" s="8" t="n">
        <f aca="false">D413</f>
        <v>4</v>
      </c>
      <c r="AG413" s="9" t="n">
        <f aca="false">E413*0.85</f>
        <v>76.534</v>
      </c>
      <c r="AH413" s="9" t="n">
        <f aca="false">F413*0.9</f>
        <v>4.5</v>
      </c>
      <c r="AI413" s="9" t="n">
        <f aca="false">G413</f>
        <v>0.03</v>
      </c>
      <c r="AJ413" s="9" t="n">
        <f aca="false">H413*1.2</f>
        <v>346.8</v>
      </c>
      <c r="AK413" s="8" t="n">
        <f aca="false">I413</f>
        <v>0</v>
      </c>
      <c r="AL413" s="8" t="n">
        <f aca="false">J413</f>
        <v>1</v>
      </c>
      <c r="AM413" s="9" t="n">
        <f aca="false">K413</f>
        <v>0.07</v>
      </c>
      <c r="AN413" s="6" t="n">
        <f aca="false">$R$2 + SUMPRODUCT(AD413:AM413,$S$2:$AB$2)</f>
        <v>-2.709152238</v>
      </c>
      <c r="AO413" s="6" t="n">
        <f aca="false">1/(1+EXP(-AN413))</f>
        <v>0.0624354586500924</v>
      </c>
    </row>
    <row r="414" customFormat="false" ht="15" hidden="false" customHeight="false" outlineLevel="0" collapsed="false">
      <c r="A414" s="3" t="s">
        <v>478</v>
      </c>
      <c r="B414" s="4" t="n">
        <v>19</v>
      </c>
      <c r="C414" s="4" t="n">
        <v>42200</v>
      </c>
      <c r="D414" s="4" t="n">
        <v>8</v>
      </c>
      <c r="E414" s="5" t="n">
        <v>99.84</v>
      </c>
      <c r="F414" s="4" t="n">
        <v>3</v>
      </c>
      <c r="G414" s="5" t="n">
        <v>0.71</v>
      </c>
      <c r="H414" s="4" t="n">
        <v>46</v>
      </c>
      <c r="I414" s="4" t="n">
        <v>0</v>
      </c>
      <c r="J414" s="4" t="n">
        <v>0</v>
      </c>
      <c r="K414" s="5" t="n">
        <v>0.62</v>
      </c>
      <c r="L414" s="4" t="n">
        <v>1</v>
      </c>
      <c r="M414" s="6" t="n">
        <f aca="false">$R$2 + SUMPRODUCT(B414:K414,$S$2:$AB$2)</f>
        <v>1.43039959</v>
      </c>
      <c r="N414" s="6" t="n">
        <f aca="false">1/(1+EXP(-M414))</f>
        <v>0.806963568881767</v>
      </c>
      <c r="O414" s="6" t="n">
        <f aca="false">IF(L414=1,N414,1-N414)</f>
        <v>0.806963568881767</v>
      </c>
      <c r="P414" s="6" t="n">
        <f aca="false">LN(O414)</f>
        <v>-0.214476755619969</v>
      </c>
      <c r="AD414" s="8" t="n">
        <f aca="false">B414</f>
        <v>19</v>
      </c>
      <c r="AE414" s="8" t="n">
        <f aca="false">C414</f>
        <v>42200</v>
      </c>
      <c r="AF414" s="8" t="n">
        <f aca="false">D414</f>
        <v>8</v>
      </c>
      <c r="AG414" s="9" t="n">
        <f aca="false">E414*0.85</f>
        <v>84.864</v>
      </c>
      <c r="AH414" s="9" t="n">
        <f aca="false">F414*0.9</f>
        <v>2.7</v>
      </c>
      <c r="AI414" s="9" t="n">
        <f aca="false">G414</f>
        <v>0.71</v>
      </c>
      <c r="AJ414" s="9" t="n">
        <f aca="false">H414*1.2</f>
        <v>55.2</v>
      </c>
      <c r="AK414" s="8" t="n">
        <f aca="false">I414</f>
        <v>0</v>
      </c>
      <c r="AL414" s="8" t="n">
        <f aca="false">J414</f>
        <v>0</v>
      </c>
      <c r="AM414" s="9" t="n">
        <f aca="false">K414</f>
        <v>0.62</v>
      </c>
      <c r="AN414" s="6" t="n">
        <f aca="false">$R$2 + SUMPRODUCT(AD414:AM414,$S$2:$AB$2)</f>
        <v>1.141434482</v>
      </c>
      <c r="AO414" s="6" t="n">
        <f aca="false">1/(1+EXP(-AN414))</f>
        <v>0.757942914264137</v>
      </c>
    </row>
    <row r="415" customFormat="false" ht="15" hidden="false" customHeight="false" outlineLevel="0" collapsed="false">
      <c r="A415" s="3" t="s">
        <v>479</v>
      </c>
      <c r="B415" s="4" t="n">
        <v>43</v>
      </c>
      <c r="C415" s="4" t="n">
        <v>56900</v>
      </c>
      <c r="D415" s="4" t="n">
        <v>5</v>
      </c>
      <c r="E415" s="5" t="n">
        <v>82.76</v>
      </c>
      <c r="F415" s="4" t="n">
        <v>3</v>
      </c>
      <c r="G415" s="5" t="n">
        <v>0.49</v>
      </c>
      <c r="H415" s="4" t="n">
        <v>81</v>
      </c>
      <c r="I415" s="4" t="n">
        <v>0</v>
      </c>
      <c r="J415" s="4" t="n">
        <v>1</v>
      </c>
      <c r="K415" s="5" t="n">
        <v>0.41</v>
      </c>
      <c r="L415" s="4" t="n">
        <v>0</v>
      </c>
      <c r="M415" s="6" t="n">
        <f aca="false">$R$2 + SUMPRODUCT(B415:K415,$S$2:$AB$2)</f>
        <v>0.5206204</v>
      </c>
      <c r="N415" s="6" t="n">
        <f aca="false">1/(1+EXP(-M415))</f>
        <v>0.627292825135546</v>
      </c>
      <c r="O415" s="6" t="n">
        <f aca="false">IF(L415=1,N415,1-N415)</f>
        <v>0.372707174864454</v>
      </c>
      <c r="P415" s="6" t="n">
        <f aca="false">LN(O415)</f>
        <v>-0.986962221637269</v>
      </c>
      <c r="AD415" s="8" t="n">
        <f aca="false">B415</f>
        <v>43</v>
      </c>
      <c r="AE415" s="8" t="n">
        <f aca="false">C415</f>
        <v>56900</v>
      </c>
      <c r="AF415" s="8" t="n">
        <f aca="false">D415</f>
        <v>5</v>
      </c>
      <c r="AG415" s="9" t="n">
        <f aca="false">E415*0.85</f>
        <v>70.346</v>
      </c>
      <c r="AH415" s="9" t="n">
        <f aca="false">F415*0.9</f>
        <v>2.7</v>
      </c>
      <c r="AI415" s="9" t="n">
        <f aca="false">G415</f>
        <v>0.49</v>
      </c>
      <c r="AJ415" s="9" t="n">
        <f aca="false">H415*1.2</f>
        <v>97.2</v>
      </c>
      <c r="AK415" s="8" t="n">
        <f aca="false">I415</f>
        <v>0</v>
      </c>
      <c r="AL415" s="8" t="n">
        <f aca="false">J415</f>
        <v>1</v>
      </c>
      <c r="AM415" s="9" t="n">
        <f aca="false">K415</f>
        <v>0.41</v>
      </c>
      <c r="AN415" s="6" t="n">
        <f aca="false">$R$2 + SUMPRODUCT(AD415:AM415,$S$2:$AB$2)</f>
        <v>0.225764638</v>
      </c>
      <c r="AO415" s="6" t="n">
        <f aca="false">1/(1+EXP(-AN415))</f>
        <v>0.556202642856602</v>
      </c>
    </row>
    <row r="416" customFormat="false" ht="15" hidden="false" customHeight="false" outlineLevel="0" collapsed="false">
      <c r="A416" s="3" t="s">
        <v>480</v>
      </c>
      <c r="B416" s="4" t="n">
        <v>34</v>
      </c>
      <c r="C416" s="4" t="n">
        <v>50400</v>
      </c>
      <c r="D416" s="4" t="n">
        <v>7</v>
      </c>
      <c r="E416" s="5" t="n">
        <v>75.73</v>
      </c>
      <c r="F416" s="4" t="n">
        <v>3</v>
      </c>
      <c r="G416" s="5" t="n">
        <v>0.63</v>
      </c>
      <c r="H416" s="4" t="n">
        <v>147</v>
      </c>
      <c r="I416" s="4" t="n">
        <v>1</v>
      </c>
      <c r="J416" s="4" t="n">
        <v>0</v>
      </c>
      <c r="K416" s="5" t="n">
        <v>0.16</v>
      </c>
      <c r="L416" s="4" t="n">
        <v>1</v>
      </c>
      <c r="M416" s="6" t="n">
        <f aca="false">$R$2 + SUMPRODUCT(B416:K416,$S$2:$AB$2)</f>
        <v>0.4203801</v>
      </c>
      <c r="N416" s="6" t="n">
        <f aca="false">1/(1+EXP(-M416))</f>
        <v>0.603574200877746</v>
      </c>
      <c r="O416" s="6" t="n">
        <f aca="false">IF(L416=1,N416,1-N416)</f>
        <v>0.603574200877746</v>
      </c>
      <c r="P416" s="6" t="n">
        <f aca="false">LN(O416)</f>
        <v>-0.504886295086494</v>
      </c>
      <c r="AD416" s="8" t="n">
        <f aca="false">B416</f>
        <v>34</v>
      </c>
      <c r="AE416" s="8" t="n">
        <f aca="false">C416</f>
        <v>50400</v>
      </c>
      <c r="AF416" s="8" t="n">
        <f aca="false">D416</f>
        <v>7</v>
      </c>
      <c r="AG416" s="9" t="n">
        <f aca="false">E416*0.85</f>
        <v>64.3705</v>
      </c>
      <c r="AH416" s="9" t="n">
        <f aca="false">F416*0.9</f>
        <v>2.7</v>
      </c>
      <c r="AI416" s="9" t="n">
        <f aca="false">G416</f>
        <v>0.63</v>
      </c>
      <c r="AJ416" s="9" t="n">
        <f aca="false">H416*1.2</f>
        <v>176.4</v>
      </c>
      <c r="AK416" s="8" t="n">
        <f aca="false">I416</f>
        <v>1</v>
      </c>
      <c r="AL416" s="8" t="n">
        <f aca="false">J416</f>
        <v>0</v>
      </c>
      <c r="AM416" s="9" t="n">
        <f aca="false">K416</f>
        <v>0.16</v>
      </c>
      <c r="AN416" s="6" t="n">
        <f aca="false">$R$2 + SUMPRODUCT(AD416:AM416,$S$2:$AB$2)</f>
        <v>0.0636838365000001</v>
      </c>
      <c r="AO416" s="6" t="n">
        <f aca="false">1/(1+EXP(-AN416))</f>
        <v>0.5159155805117</v>
      </c>
    </row>
    <row r="417" customFormat="false" ht="15" hidden="false" customHeight="false" outlineLevel="0" collapsed="false">
      <c r="A417" s="3" t="s">
        <v>481</v>
      </c>
      <c r="B417" s="4" t="n">
        <v>57</v>
      </c>
      <c r="C417" s="4" t="n">
        <v>82100</v>
      </c>
      <c r="D417" s="4" t="n">
        <v>5</v>
      </c>
      <c r="E417" s="5" t="n">
        <v>74.49</v>
      </c>
      <c r="F417" s="4" t="n">
        <v>2</v>
      </c>
      <c r="G417" s="5" t="n">
        <v>0.29</v>
      </c>
      <c r="H417" s="4" t="n">
        <v>222</v>
      </c>
      <c r="I417" s="4" t="n">
        <v>0</v>
      </c>
      <c r="J417" s="4" t="n">
        <v>0</v>
      </c>
      <c r="K417" s="5" t="n">
        <v>0.07</v>
      </c>
      <c r="L417" s="4" t="n">
        <v>0</v>
      </c>
      <c r="M417" s="6" t="n">
        <f aca="false">$R$2 + SUMPRODUCT(B417:K417,$S$2:$AB$2)</f>
        <v>-1.44751893</v>
      </c>
      <c r="N417" s="6" t="n">
        <f aca="false">1/(1+EXP(-M417))</f>
        <v>0.190383698810188</v>
      </c>
      <c r="O417" s="6" t="n">
        <f aca="false">IF(L417=1,N417,1-N417)</f>
        <v>0.809616301189812</v>
      </c>
      <c r="P417" s="6" t="n">
        <f aca="false">LN(O417)</f>
        <v>-0.2111948457828</v>
      </c>
      <c r="AD417" s="8" t="n">
        <f aca="false">B417</f>
        <v>57</v>
      </c>
      <c r="AE417" s="8" t="n">
        <f aca="false">C417</f>
        <v>82100</v>
      </c>
      <c r="AF417" s="8" t="n">
        <f aca="false">D417</f>
        <v>5</v>
      </c>
      <c r="AG417" s="9" t="n">
        <f aca="false">E417*0.85</f>
        <v>63.3165</v>
      </c>
      <c r="AH417" s="9" t="n">
        <f aca="false">F417*0.9</f>
        <v>1.8</v>
      </c>
      <c r="AI417" s="9" t="n">
        <f aca="false">G417</f>
        <v>0.29</v>
      </c>
      <c r="AJ417" s="9" t="n">
        <f aca="false">H417*1.2</f>
        <v>266.4</v>
      </c>
      <c r="AK417" s="8" t="n">
        <f aca="false">I417</f>
        <v>0</v>
      </c>
      <c r="AL417" s="8" t="n">
        <f aca="false">J417</f>
        <v>0</v>
      </c>
      <c r="AM417" s="9" t="n">
        <f aca="false">K417</f>
        <v>0.07</v>
      </c>
      <c r="AN417" s="6" t="n">
        <f aca="false">$R$2 + SUMPRODUCT(AD417:AM417,$S$2:$AB$2)</f>
        <v>-1.8764803555</v>
      </c>
      <c r="AO417" s="6" t="n">
        <f aca="false">1/(1+EXP(-AN417))</f>
        <v>0.132793670491656</v>
      </c>
    </row>
    <row r="418" customFormat="false" ht="15" hidden="false" customHeight="false" outlineLevel="0" collapsed="false">
      <c r="A418" s="3" t="s">
        <v>482</v>
      </c>
      <c r="B418" s="4" t="n">
        <v>50</v>
      </c>
      <c r="C418" s="4" t="n">
        <v>15000</v>
      </c>
      <c r="D418" s="4" t="n">
        <v>8</v>
      </c>
      <c r="E418" s="5" t="n">
        <v>51.1</v>
      </c>
      <c r="F418" s="4" t="n">
        <v>4</v>
      </c>
      <c r="G418" s="5" t="n">
        <v>0.55</v>
      </c>
      <c r="H418" s="4" t="n">
        <v>343</v>
      </c>
      <c r="I418" s="4" t="n">
        <v>1</v>
      </c>
      <c r="J418" s="4" t="n">
        <v>0</v>
      </c>
      <c r="K418" s="5" t="n">
        <v>0.32</v>
      </c>
      <c r="L418" s="4" t="n">
        <v>0</v>
      </c>
      <c r="M418" s="6" t="n">
        <f aca="false">$R$2 + SUMPRODUCT(B418:K418,$S$2:$AB$2)</f>
        <v>-1.68244309</v>
      </c>
      <c r="N418" s="6" t="n">
        <f aca="false">1/(1+EXP(-M418))</f>
        <v>0.156772234450454</v>
      </c>
      <c r="O418" s="6" t="n">
        <f aca="false">IF(L418=1,N418,1-N418)</f>
        <v>0.843227765549546</v>
      </c>
      <c r="P418" s="6" t="n">
        <f aca="false">LN(O418)</f>
        <v>-0.170518172954511</v>
      </c>
      <c r="AD418" s="8" t="n">
        <f aca="false">B418</f>
        <v>50</v>
      </c>
      <c r="AE418" s="8" t="n">
        <f aca="false">C418</f>
        <v>15000</v>
      </c>
      <c r="AF418" s="8" t="n">
        <f aca="false">D418</f>
        <v>8</v>
      </c>
      <c r="AG418" s="9" t="n">
        <f aca="false">E418*0.85</f>
        <v>43.435</v>
      </c>
      <c r="AH418" s="9" t="n">
        <f aca="false">F418*0.9</f>
        <v>3.6</v>
      </c>
      <c r="AI418" s="9" t="n">
        <f aca="false">G418</f>
        <v>0.55</v>
      </c>
      <c r="AJ418" s="9" t="n">
        <f aca="false">H418*1.2</f>
        <v>411.6</v>
      </c>
      <c r="AK418" s="8" t="n">
        <f aca="false">I418</f>
        <v>1</v>
      </c>
      <c r="AL418" s="8" t="n">
        <f aca="false">J418</f>
        <v>0</v>
      </c>
      <c r="AM418" s="9" t="n">
        <f aca="false">K418</f>
        <v>0.32</v>
      </c>
      <c r="AN418" s="6" t="n">
        <f aca="false">$R$2 + SUMPRODUCT(AD418:AM418,$S$2:$AB$2)</f>
        <v>-2.226831035</v>
      </c>
      <c r="AO418" s="6" t="n">
        <f aca="false">1/(1+EXP(-AN418))</f>
        <v>0.0973667950981926</v>
      </c>
    </row>
    <row r="419" customFormat="false" ht="15" hidden="false" customHeight="false" outlineLevel="0" collapsed="false">
      <c r="A419" s="3" t="s">
        <v>483</v>
      </c>
      <c r="B419" s="4" t="n">
        <v>26</v>
      </c>
      <c r="C419" s="4" t="n">
        <v>74600</v>
      </c>
      <c r="D419" s="4" t="n">
        <v>5</v>
      </c>
      <c r="E419" s="5" t="n">
        <v>61.75</v>
      </c>
      <c r="F419" s="4" t="n">
        <v>1</v>
      </c>
      <c r="G419" s="5" t="n">
        <v>0.12</v>
      </c>
      <c r="H419" s="4" t="n">
        <v>15</v>
      </c>
      <c r="I419" s="4" t="n">
        <v>1</v>
      </c>
      <c r="J419" s="4" t="n">
        <v>0</v>
      </c>
      <c r="K419" s="5" t="n">
        <v>0.34</v>
      </c>
      <c r="L419" s="4" t="n">
        <v>0</v>
      </c>
      <c r="M419" s="6" t="n">
        <f aca="false">$R$2 + SUMPRODUCT(B419:K419,$S$2:$AB$2)</f>
        <v>0.39423049</v>
      </c>
      <c r="N419" s="6" t="n">
        <f aca="false">1/(1+EXP(-M419))</f>
        <v>0.597300687470953</v>
      </c>
      <c r="O419" s="6" t="n">
        <f aca="false">IF(L419=1,N419,1-N419)</f>
        <v>0.402699312529047</v>
      </c>
      <c r="P419" s="6" t="n">
        <f aca="false">LN(O419)</f>
        <v>-0.909565118280278</v>
      </c>
      <c r="AD419" s="8" t="n">
        <f aca="false">B419</f>
        <v>26</v>
      </c>
      <c r="AE419" s="8" t="n">
        <f aca="false">C419</f>
        <v>74600</v>
      </c>
      <c r="AF419" s="8" t="n">
        <f aca="false">D419</f>
        <v>5</v>
      </c>
      <c r="AG419" s="9" t="n">
        <f aca="false">E419*0.85</f>
        <v>52.4875</v>
      </c>
      <c r="AH419" s="9" t="n">
        <f aca="false">F419*0.9</f>
        <v>0.9</v>
      </c>
      <c r="AI419" s="9" t="n">
        <f aca="false">G419</f>
        <v>0.12</v>
      </c>
      <c r="AJ419" s="9" t="n">
        <f aca="false">H419*1.2</f>
        <v>18</v>
      </c>
      <c r="AK419" s="8" t="n">
        <f aca="false">I419</f>
        <v>1</v>
      </c>
      <c r="AL419" s="8" t="n">
        <f aca="false">J419</f>
        <v>0</v>
      </c>
      <c r="AM419" s="9" t="n">
        <f aca="false">K419</f>
        <v>0.34</v>
      </c>
      <c r="AN419" s="6" t="n">
        <f aca="false">$R$2 + SUMPRODUCT(AD419:AM419,$S$2:$AB$2)</f>
        <v>0.240927027500001</v>
      </c>
      <c r="AO419" s="6" t="n">
        <f aca="false">1/(1+EXP(-AN419))</f>
        <v>0.559942087959924</v>
      </c>
    </row>
    <row r="420" customFormat="false" ht="15" hidden="false" customHeight="false" outlineLevel="0" collapsed="false">
      <c r="A420" s="3" t="s">
        <v>484</v>
      </c>
      <c r="B420" s="4" t="n">
        <v>60</v>
      </c>
      <c r="C420" s="4" t="n">
        <v>77400</v>
      </c>
      <c r="D420" s="4" t="n">
        <v>3</v>
      </c>
      <c r="E420" s="5" t="n">
        <v>106.73</v>
      </c>
      <c r="F420" s="4" t="n">
        <v>6</v>
      </c>
      <c r="G420" s="5" t="n">
        <v>0.17</v>
      </c>
      <c r="H420" s="4" t="n">
        <v>121</v>
      </c>
      <c r="I420" s="4" t="n">
        <v>1</v>
      </c>
      <c r="J420" s="4" t="n">
        <v>1</v>
      </c>
      <c r="K420" s="5" t="n">
        <v>0.13</v>
      </c>
      <c r="L420" s="4" t="n">
        <v>1</v>
      </c>
      <c r="M420" s="6" t="n">
        <f aca="false">$R$2 + SUMPRODUCT(B420:K420,$S$2:$AB$2)</f>
        <v>0.73549645</v>
      </c>
      <c r="N420" s="6" t="n">
        <f aca="false">1/(1+EXP(-M420))</f>
        <v>0.67601026989571</v>
      </c>
      <c r="O420" s="6" t="n">
        <f aca="false">IF(L420=1,N420,1-N420)</f>
        <v>0.67601026989571</v>
      </c>
      <c r="P420" s="6" t="n">
        <f aca="false">LN(O420)</f>
        <v>-0.391547010901156</v>
      </c>
      <c r="AD420" s="8" t="n">
        <f aca="false">B420</f>
        <v>60</v>
      </c>
      <c r="AE420" s="8" t="n">
        <f aca="false">C420</f>
        <v>77400</v>
      </c>
      <c r="AF420" s="8" t="n">
        <f aca="false">D420</f>
        <v>3</v>
      </c>
      <c r="AG420" s="9" t="n">
        <f aca="false">E420*0.85</f>
        <v>90.7205</v>
      </c>
      <c r="AH420" s="9" t="n">
        <f aca="false">F420*0.9</f>
        <v>5.4</v>
      </c>
      <c r="AI420" s="9" t="n">
        <f aca="false">G420</f>
        <v>0.17</v>
      </c>
      <c r="AJ420" s="9" t="n">
        <f aca="false">H420*1.2</f>
        <v>145.2</v>
      </c>
      <c r="AK420" s="8" t="n">
        <f aca="false">I420</f>
        <v>1</v>
      </c>
      <c r="AL420" s="8" t="n">
        <f aca="false">J420</f>
        <v>1</v>
      </c>
      <c r="AM420" s="9" t="n">
        <f aca="false">K420</f>
        <v>0.13</v>
      </c>
      <c r="AN420" s="6" t="n">
        <f aca="false">$R$2 + SUMPRODUCT(AD420:AM420,$S$2:$AB$2)</f>
        <v>0.311459436500001</v>
      </c>
      <c r="AO420" s="6" t="n">
        <f aca="false">1/(1+EXP(-AN420))</f>
        <v>0.577241452995543</v>
      </c>
    </row>
    <row r="421" customFormat="false" ht="15" hidden="false" customHeight="false" outlineLevel="0" collapsed="false">
      <c r="A421" s="3" t="s">
        <v>485</v>
      </c>
      <c r="B421" s="4" t="n">
        <v>65</v>
      </c>
      <c r="C421" s="4" t="n">
        <v>17700</v>
      </c>
      <c r="D421" s="4" t="n">
        <v>8</v>
      </c>
      <c r="E421" s="5" t="n">
        <v>41.44</v>
      </c>
      <c r="F421" s="4" t="n">
        <v>5</v>
      </c>
      <c r="G421" s="5" t="n">
        <v>0.49</v>
      </c>
      <c r="H421" s="4" t="n">
        <v>78</v>
      </c>
      <c r="I421" s="4" t="n">
        <v>0</v>
      </c>
      <c r="J421" s="4" t="n">
        <v>1</v>
      </c>
      <c r="K421" s="5" t="n">
        <v>0.33</v>
      </c>
      <c r="L421" s="4" t="n">
        <v>0</v>
      </c>
      <c r="M421" s="6" t="n">
        <f aca="false">$R$2 + SUMPRODUCT(B421:K421,$S$2:$AB$2)</f>
        <v>-0.4644568</v>
      </c>
      <c r="N421" s="6" t="n">
        <f aca="false">1/(1+EXP(-M421))</f>
        <v>0.385929081030567</v>
      </c>
      <c r="O421" s="6" t="n">
        <f aca="false">IF(L421=1,N421,1-N421)</f>
        <v>0.614070918969433</v>
      </c>
      <c r="P421" s="6" t="n">
        <f aca="false">LN(O421)</f>
        <v>-0.487644854297431</v>
      </c>
      <c r="AD421" s="8" t="n">
        <f aca="false">B421</f>
        <v>65</v>
      </c>
      <c r="AE421" s="8" t="n">
        <f aca="false">C421</f>
        <v>17700</v>
      </c>
      <c r="AF421" s="8" t="n">
        <f aca="false">D421</f>
        <v>8</v>
      </c>
      <c r="AG421" s="9" t="n">
        <f aca="false">E421*0.85</f>
        <v>35.224</v>
      </c>
      <c r="AH421" s="9" t="n">
        <f aca="false">F421*0.9</f>
        <v>4.5</v>
      </c>
      <c r="AI421" s="9" t="n">
        <f aca="false">G421</f>
        <v>0.49</v>
      </c>
      <c r="AJ421" s="9" t="n">
        <f aca="false">H421*1.2</f>
        <v>93.6</v>
      </c>
      <c r="AK421" s="8" t="n">
        <f aca="false">I421</f>
        <v>0</v>
      </c>
      <c r="AL421" s="8" t="n">
        <f aca="false">J421</f>
        <v>1</v>
      </c>
      <c r="AM421" s="9" t="n">
        <f aca="false">K421</f>
        <v>0.33</v>
      </c>
      <c r="AN421" s="6" t="n">
        <f aca="false">$R$2 + SUMPRODUCT(AD421:AM421,$S$2:$AB$2)</f>
        <v>-0.695812628</v>
      </c>
      <c r="AO421" s="6" t="n">
        <f aca="false">1/(1+EXP(-AN421))</f>
        <v>0.332741275047224</v>
      </c>
    </row>
    <row r="422" customFormat="false" ht="15" hidden="false" customHeight="false" outlineLevel="0" collapsed="false">
      <c r="A422" s="3" t="s">
        <v>486</v>
      </c>
      <c r="B422" s="4" t="n">
        <v>56</v>
      </c>
      <c r="C422" s="4" t="n">
        <v>48800</v>
      </c>
      <c r="D422" s="4" t="n">
        <v>12</v>
      </c>
      <c r="E422" s="5" t="n">
        <v>105.37</v>
      </c>
      <c r="F422" s="4" t="n">
        <v>4</v>
      </c>
      <c r="G422" s="5" t="n">
        <v>0.76</v>
      </c>
      <c r="H422" s="4" t="n">
        <v>322</v>
      </c>
      <c r="I422" s="4" t="n">
        <v>0</v>
      </c>
      <c r="J422" s="4" t="n">
        <v>1</v>
      </c>
      <c r="K422" s="5" t="n">
        <v>0.23</v>
      </c>
      <c r="L422" s="4" t="n">
        <v>1</v>
      </c>
      <c r="M422" s="6" t="n">
        <f aca="false">$R$2 + SUMPRODUCT(B422:K422,$S$2:$AB$2)</f>
        <v>0.780348760000001</v>
      </c>
      <c r="N422" s="6" t="n">
        <f aca="false">1/(1+EXP(-M422))</f>
        <v>0.685755274835199</v>
      </c>
      <c r="O422" s="6" t="n">
        <f aca="false">IF(L422=1,N422,1-N422)</f>
        <v>0.685755274835199</v>
      </c>
      <c r="P422" s="6" t="n">
        <f aca="false">LN(O422)</f>
        <v>-0.377234457126639</v>
      </c>
      <c r="AD422" s="8" t="n">
        <f aca="false">B422</f>
        <v>56</v>
      </c>
      <c r="AE422" s="8" t="n">
        <f aca="false">C422</f>
        <v>48800</v>
      </c>
      <c r="AF422" s="8" t="n">
        <f aca="false">D422</f>
        <v>12</v>
      </c>
      <c r="AG422" s="9" t="n">
        <f aca="false">E422*0.85</f>
        <v>89.5645</v>
      </c>
      <c r="AH422" s="9" t="n">
        <f aca="false">F422*0.9</f>
        <v>3.6</v>
      </c>
      <c r="AI422" s="9" t="n">
        <f aca="false">G422</f>
        <v>0.76</v>
      </c>
      <c r="AJ422" s="9" t="n">
        <f aca="false">H422*1.2</f>
        <v>386.4</v>
      </c>
      <c r="AK422" s="8" t="n">
        <f aca="false">I422</f>
        <v>0</v>
      </c>
      <c r="AL422" s="8" t="n">
        <f aca="false">J422</f>
        <v>1</v>
      </c>
      <c r="AM422" s="9" t="n">
        <f aca="false">K422</f>
        <v>0.23</v>
      </c>
      <c r="AN422" s="6" t="n">
        <f aca="false">$R$2 + SUMPRODUCT(AD422:AM422,$S$2:$AB$2)</f>
        <v>0.1507930785</v>
      </c>
      <c r="AO422" s="6" t="n">
        <f aca="false">1/(1+EXP(-AN422))</f>
        <v>0.537626998008295</v>
      </c>
    </row>
    <row r="423" customFormat="false" ht="15" hidden="false" customHeight="false" outlineLevel="0" collapsed="false">
      <c r="A423" s="3" t="s">
        <v>487</v>
      </c>
      <c r="B423" s="4" t="n">
        <v>46</v>
      </c>
      <c r="C423" s="4" t="n">
        <v>48300</v>
      </c>
      <c r="D423" s="4" t="n">
        <v>10</v>
      </c>
      <c r="E423" s="5" t="n">
        <v>56.95</v>
      </c>
      <c r="F423" s="4" t="n">
        <v>2</v>
      </c>
      <c r="G423" s="5" t="n">
        <v>0.62</v>
      </c>
      <c r="H423" s="4" t="n">
        <v>295</v>
      </c>
      <c r="I423" s="4" t="n">
        <v>0</v>
      </c>
      <c r="J423" s="4" t="n">
        <v>0</v>
      </c>
      <c r="K423" s="5" t="n">
        <v>0.36</v>
      </c>
      <c r="L423" s="4" t="n">
        <v>0</v>
      </c>
      <c r="M423" s="6" t="n">
        <f aca="false">$R$2 + SUMPRODUCT(B423:K423,$S$2:$AB$2)</f>
        <v>-0.93350275</v>
      </c>
      <c r="N423" s="6" t="n">
        <f aca="false">1/(1+EXP(-M423))</f>
        <v>0.282214623121582</v>
      </c>
      <c r="O423" s="6" t="n">
        <f aca="false">IF(L423=1,N423,1-N423)</f>
        <v>0.717785376878418</v>
      </c>
      <c r="P423" s="6" t="n">
        <f aca="false">LN(O423)</f>
        <v>-0.331584672615435</v>
      </c>
      <c r="AD423" s="8" t="n">
        <f aca="false">B423</f>
        <v>46</v>
      </c>
      <c r="AE423" s="8" t="n">
        <f aca="false">C423</f>
        <v>48300</v>
      </c>
      <c r="AF423" s="8" t="n">
        <f aca="false">D423</f>
        <v>10</v>
      </c>
      <c r="AG423" s="9" t="n">
        <f aca="false">E423*0.85</f>
        <v>48.4075</v>
      </c>
      <c r="AH423" s="9" t="n">
        <f aca="false">F423*0.9</f>
        <v>1.8</v>
      </c>
      <c r="AI423" s="9" t="n">
        <f aca="false">G423</f>
        <v>0.62</v>
      </c>
      <c r="AJ423" s="9" t="n">
        <f aca="false">H423*1.2</f>
        <v>354</v>
      </c>
      <c r="AK423" s="8" t="n">
        <f aca="false">I423</f>
        <v>0</v>
      </c>
      <c r="AL423" s="8" t="n">
        <f aca="false">J423</f>
        <v>0</v>
      </c>
      <c r="AM423" s="9" t="n">
        <f aca="false">K423</f>
        <v>0.36</v>
      </c>
      <c r="AN423" s="6" t="n">
        <f aca="false">$R$2 + SUMPRODUCT(AD423:AM423,$S$2:$AB$2)</f>
        <v>-1.4111887525</v>
      </c>
      <c r="AO423" s="6" t="n">
        <f aca="false">1/(1+EXP(-AN423))</f>
        <v>0.196046626593443</v>
      </c>
    </row>
    <row r="424" customFormat="false" ht="15" hidden="false" customHeight="false" outlineLevel="0" collapsed="false">
      <c r="A424" s="3" t="s">
        <v>488</v>
      </c>
      <c r="B424" s="4" t="n">
        <v>59</v>
      </c>
      <c r="C424" s="4" t="n">
        <v>29700</v>
      </c>
      <c r="D424" s="4" t="n">
        <v>3</v>
      </c>
      <c r="E424" s="5" t="n">
        <v>98.14</v>
      </c>
      <c r="F424" s="4" t="n">
        <v>4</v>
      </c>
      <c r="G424" s="5" t="n">
        <v>0.28</v>
      </c>
      <c r="H424" s="4" t="n">
        <v>241</v>
      </c>
      <c r="I424" s="4" t="n">
        <v>0</v>
      </c>
      <c r="J424" s="4" t="n">
        <v>0</v>
      </c>
      <c r="K424" s="5" t="n">
        <v>0.23</v>
      </c>
      <c r="L424" s="4" t="n">
        <v>0</v>
      </c>
      <c r="M424" s="6" t="n">
        <f aca="false">$R$2 + SUMPRODUCT(B424:K424,$S$2:$AB$2)</f>
        <v>-2.44755791</v>
      </c>
      <c r="N424" s="6" t="n">
        <f aca="false">1/(1+EXP(-M424))</f>
        <v>0.079617318018382</v>
      </c>
      <c r="O424" s="6" t="n">
        <f aca="false">IF(L424=1,N424,1-N424)</f>
        <v>0.920382681981618</v>
      </c>
      <c r="P424" s="6" t="n">
        <f aca="false">LN(O424)</f>
        <v>-0.0829657367502068</v>
      </c>
      <c r="AD424" s="8" t="n">
        <f aca="false">B424</f>
        <v>59</v>
      </c>
      <c r="AE424" s="8" t="n">
        <f aca="false">C424</f>
        <v>29700</v>
      </c>
      <c r="AF424" s="8" t="n">
        <f aca="false">D424</f>
        <v>3</v>
      </c>
      <c r="AG424" s="9" t="n">
        <f aca="false">E424*0.85</f>
        <v>83.419</v>
      </c>
      <c r="AH424" s="9" t="n">
        <f aca="false">F424*0.9</f>
        <v>3.6</v>
      </c>
      <c r="AI424" s="9" t="n">
        <f aca="false">G424</f>
        <v>0.28</v>
      </c>
      <c r="AJ424" s="9" t="n">
        <f aca="false">H424*1.2</f>
        <v>289.2</v>
      </c>
      <c r="AK424" s="8" t="n">
        <f aca="false">I424</f>
        <v>0</v>
      </c>
      <c r="AL424" s="8" t="n">
        <f aca="false">J424</f>
        <v>0</v>
      </c>
      <c r="AM424" s="9" t="n">
        <f aca="false">K424</f>
        <v>0.23</v>
      </c>
      <c r="AN424" s="6" t="n">
        <f aca="false">$R$2 + SUMPRODUCT(AD424:AM424,$S$2:$AB$2)</f>
        <v>-2.969265903</v>
      </c>
      <c r="AO424" s="6" t="n">
        <f aca="false">1/(1+EXP(-AN424))</f>
        <v>0.048833809829813</v>
      </c>
    </row>
    <row r="425" customFormat="false" ht="15" hidden="false" customHeight="false" outlineLevel="0" collapsed="false">
      <c r="A425" s="3" t="s">
        <v>489</v>
      </c>
      <c r="B425" s="4" t="n">
        <v>43</v>
      </c>
      <c r="C425" s="4" t="n">
        <v>41000</v>
      </c>
      <c r="D425" s="4" t="n">
        <v>3</v>
      </c>
      <c r="E425" s="5" t="n">
        <v>29.83</v>
      </c>
      <c r="F425" s="4" t="n">
        <v>5</v>
      </c>
      <c r="G425" s="5" t="n">
        <v>0.46</v>
      </c>
      <c r="H425" s="4" t="n">
        <v>18</v>
      </c>
      <c r="I425" s="4" t="n">
        <v>1</v>
      </c>
      <c r="J425" s="4" t="n">
        <v>1</v>
      </c>
      <c r="K425" s="5" t="n">
        <v>0.18</v>
      </c>
      <c r="L425" s="4" t="n">
        <v>0</v>
      </c>
      <c r="M425" s="6" t="n">
        <f aca="false">$R$2 + SUMPRODUCT(B425:K425,$S$2:$AB$2)</f>
        <v>0.0742449900000004</v>
      </c>
      <c r="N425" s="6" t="n">
        <f aca="false">1/(1+EXP(-M425))</f>
        <v>0.518552725904951</v>
      </c>
      <c r="O425" s="6" t="n">
        <f aca="false">IF(L425=1,N425,1-N425)</f>
        <v>0.48144727409505</v>
      </c>
      <c r="P425" s="6" t="n">
        <f aca="false">LN(O425)</f>
        <v>-0.730958557176969</v>
      </c>
      <c r="AD425" s="8" t="n">
        <f aca="false">B425</f>
        <v>43</v>
      </c>
      <c r="AE425" s="8" t="n">
        <f aca="false">C425</f>
        <v>41000</v>
      </c>
      <c r="AF425" s="8" t="n">
        <f aca="false">D425</f>
        <v>3</v>
      </c>
      <c r="AG425" s="9" t="n">
        <f aca="false">E425*0.85</f>
        <v>25.3555</v>
      </c>
      <c r="AH425" s="9" t="n">
        <f aca="false">F425*0.9</f>
        <v>4.5</v>
      </c>
      <c r="AI425" s="9" t="n">
        <f aca="false">G425</f>
        <v>0.46</v>
      </c>
      <c r="AJ425" s="9" t="n">
        <f aca="false">H425*1.2</f>
        <v>21.6</v>
      </c>
      <c r="AK425" s="8" t="n">
        <f aca="false">I425</f>
        <v>1</v>
      </c>
      <c r="AL425" s="8" t="n">
        <f aca="false">J425</f>
        <v>1</v>
      </c>
      <c r="AM425" s="9" t="n">
        <f aca="false">K425</f>
        <v>0.18</v>
      </c>
      <c r="AN425" s="6" t="n">
        <f aca="false">$R$2 + SUMPRODUCT(AD425:AM425,$S$2:$AB$2)</f>
        <v>-0.0646212684999998</v>
      </c>
      <c r="AO425" s="6" t="n">
        <f aca="false">1/(1+EXP(-AN425))</f>
        <v>0.48385030245529</v>
      </c>
    </row>
    <row r="426" customFormat="false" ht="15" hidden="false" customHeight="false" outlineLevel="0" collapsed="false">
      <c r="A426" s="3" t="s">
        <v>490</v>
      </c>
      <c r="B426" s="4" t="n">
        <v>52</v>
      </c>
      <c r="C426" s="4" t="n">
        <v>35000</v>
      </c>
      <c r="D426" s="4" t="n">
        <v>9</v>
      </c>
      <c r="E426" s="5" t="n">
        <v>79.65</v>
      </c>
      <c r="F426" s="4" t="n">
        <v>5</v>
      </c>
      <c r="G426" s="5" t="n">
        <v>0.25</v>
      </c>
      <c r="H426" s="4" t="n">
        <v>256</v>
      </c>
      <c r="I426" s="4" t="n">
        <v>0</v>
      </c>
      <c r="J426" s="4" t="n">
        <v>1</v>
      </c>
      <c r="K426" s="5" t="n">
        <v>0.77</v>
      </c>
      <c r="L426" s="4" t="n">
        <v>1</v>
      </c>
      <c r="M426" s="6" t="n">
        <f aca="false">$R$2 + SUMPRODUCT(B426:K426,$S$2:$AB$2)</f>
        <v>-0.13420839</v>
      </c>
      <c r="N426" s="6" t="n">
        <f aca="false">1/(1+EXP(-M426))</f>
        <v>0.466498173350857</v>
      </c>
      <c r="O426" s="6" t="n">
        <f aca="false">IF(L426=1,N426,1-N426)</f>
        <v>0.466498173350857</v>
      </c>
      <c r="P426" s="6" t="n">
        <f aca="false">LN(O426)</f>
        <v>-0.762501174349014</v>
      </c>
      <c r="AD426" s="8" t="n">
        <f aca="false">B426</f>
        <v>52</v>
      </c>
      <c r="AE426" s="8" t="n">
        <f aca="false">C426</f>
        <v>35000</v>
      </c>
      <c r="AF426" s="8" t="n">
        <f aca="false">D426</f>
        <v>9</v>
      </c>
      <c r="AG426" s="9" t="n">
        <f aca="false">E426*0.85</f>
        <v>67.7025</v>
      </c>
      <c r="AH426" s="9" t="n">
        <f aca="false">F426*0.9</f>
        <v>4.5</v>
      </c>
      <c r="AI426" s="9" t="n">
        <f aca="false">G426</f>
        <v>0.25</v>
      </c>
      <c r="AJ426" s="9" t="n">
        <f aca="false">H426*1.2</f>
        <v>307.2</v>
      </c>
      <c r="AK426" s="8" t="n">
        <f aca="false">I426</f>
        <v>0</v>
      </c>
      <c r="AL426" s="8" t="n">
        <f aca="false">J426</f>
        <v>1</v>
      </c>
      <c r="AM426" s="9" t="n">
        <f aca="false">K426</f>
        <v>0.77</v>
      </c>
      <c r="AN426" s="6" t="n">
        <f aca="false">$R$2 + SUMPRODUCT(AD426:AM426,$S$2:$AB$2)</f>
        <v>-0.6475402575</v>
      </c>
      <c r="AO426" s="6" t="n">
        <f aca="false">1/(1+EXP(-AN426))</f>
        <v>0.343544048553006</v>
      </c>
    </row>
    <row r="427" customFormat="false" ht="15" hidden="false" customHeight="false" outlineLevel="0" collapsed="false">
      <c r="A427" s="3" t="s">
        <v>491</v>
      </c>
      <c r="B427" s="4" t="n">
        <v>67</v>
      </c>
      <c r="C427" s="4" t="n">
        <v>86500</v>
      </c>
      <c r="D427" s="4" t="n">
        <v>7</v>
      </c>
      <c r="E427" s="5" t="n">
        <v>46.58</v>
      </c>
      <c r="F427" s="4" t="n">
        <v>5</v>
      </c>
      <c r="G427" s="5" t="n">
        <v>0.77</v>
      </c>
      <c r="H427" s="4" t="n">
        <v>277</v>
      </c>
      <c r="I427" s="4" t="n">
        <v>1</v>
      </c>
      <c r="J427" s="4" t="n">
        <v>0</v>
      </c>
      <c r="K427" s="5" t="n">
        <v>0.34</v>
      </c>
      <c r="L427" s="4" t="n">
        <v>1</v>
      </c>
      <c r="M427" s="6" t="n">
        <f aca="false">$R$2 + SUMPRODUCT(B427:K427,$S$2:$AB$2)</f>
        <v>0.398511030000001</v>
      </c>
      <c r="N427" s="6" t="n">
        <f aca="false">1/(1+EXP(-M427))</f>
        <v>0.598329866560723</v>
      </c>
      <c r="O427" s="6" t="n">
        <f aca="false">IF(L427=1,N427,1-N427)</f>
        <v>0.598329866560723</v>
      </c>
      <c r="P427" s="6" t="n">
        <f aca="false">LN(O427)</f>
        <v>-0.513613060793584</v>
      </c>
      <c r="AD427" s="8" t="n">
        <f aca="false">B427</f>
        <v>67</v>
      </c>
      <c r="AE427" s="8" t="n">
        <f aca="false">C427</f>
        <v>86500</v>
      </c>
      <c r="AF427" s="8" t="n">
        <f aca="false">D427</f>
        <v>7</v>
      </c>
      <c r="AG427" s="9" t="n">
        <f aca="false">E427*0.85</f>
        <v>39.593</v>
      </c>
      <c r="AH427" s="9" t="n">
        <f aca="false">F427*0.9</f>
        <v>4.5</v>
      </c>
      <c r="AI427" s="9" t="n">
        <f aca="false">G427</f>
        <v>0.77</v>
      </c>
      <c r="AJ427" s="9" t="n">
        <f aca="false">H427*1.2</f>
        <v>332.4</v>
      </c>
      <c r="AK427" s="8" t="n">
        <f aca="false">I427</f>
        <v>1</v>
      </c>
      <c r="AL427" s="8" t="n">
        <f aca="false">J427</f>
        <v>0</v>
      </c>
      <c r="AM427" s="9" t="n">
        <f aca="false">K427</f>
        <v>0.34</v>
      </c>
      <c r="AN427" s="6" t="n">
        <f aca="false">$R$2 + SUMPRODUCT(AD427:AM427,$S$2:$AB$2)</f>
        <v>-0.0723700409999992</v>
      </c>
      <c r="AO427" s="6" t="n">
        <f aca="false">1/(1+EXP(-AN427))</f>
        <v>0.481915382126981</v>
      </c>
    </row>
    <row r="428" customFormat="false" ht="15" hidden="false" customHeight="false" outlineLevel="0" collapsed="false">
      <c r="A428" s="3" t="s">
        <v>492</v>
      </c>
      <c r="B428" s="4" t="n">
        <v>42</v>
      </c>
      <c r="C428" s="4" t="n">
        <v>71800</v>
      </c>
      <c r="D428" s="4" t="n">
        <v>4</v>
      </c>
      <c r="E428" s="5" t="n">
        <v>29.62</v>
      </c>
      <c r="F428" s="4" t="n">
        <v>6</v>
      </c>
      <c r="G428" s="5" t="n">
        <v>0.81</v>
      </c>
      <c r="H428" s="4" t="n">
        <v>27</v>
      </c>
      <c r="I428" s="4" t="n">
        <v>0</v>
      </c>
      <c r="J428" s="4" t="n">
        <v>1</v>
      </c>
      <c r="K428" s="5" t="n">
        <v>0.5</v>
      </c>
      <c r="L428" s="4" t="n">
        <v>1</v>
      </c>
      <c r="M428" s="6" t="n">
        <f aca="false">$R$2 + SUMPRODUCT(B428:K428,$S$2:$AB$2)</f>
        <v>1.26217147</v>
      </c>
      <c r="N428" s="6" t="n">
        <f aca="false">1/(1+EXP(-M428))</f>
        <v>0.779399687750069</v>
      </c>
      <c r="O428" s="6" t="n">
        <f aca="false">IF(L428=1,N428,1-N428)</f>
        <v>0.779399687750069</v>
      </c>
      <c r="P428" s="6" t="n">
        <f aca="false">LN(O428)</f>
        <v>-0.249231286706208</v>
      </c>
      <c r="AD428" s="8" t="n">
        <f aca="false">B428</f>
        <v>42</v>
      </c>
      <c r="AE428" s="8" t="n">
        <f aca="false">C428</f>
        <v>71800</v>
      </c>
      <c r="AF428" s="8" t="n">
        <f aca="false">D428</f>
        <v>4</v>
      </c>
      <c r="AG428" s="9" t="n">
        <f aca="false">E428*0.85</f>
        <v>25.177</v>
      </c>
      <c r="AH428" s="9" t="n">
        <f aca="false">F428*0.9</f>
        <v>5.4</v>
      </c>
      <c r="AI428" s="9" t="n">
        <f aca="false">G428</f>
        <v>0.81</v>
      </c>
      <c r="AJ428" s="9" t="n">
        <f aca="false">H428*1.2</f>
        <v>32.4</v>
      </c>
      <c r="AK428" s="8" t="n">
        <f aca="false">I428</f>
        <v>0</v>
      </c>
      <c r="AL428" s="8" t="n">
        <f aca="false">J428</f>
        <v>1</v>
      </c>
      <c r="AM428" s="9" t="n">
        <f aca="false">K428</f>
        <v>0.5</v>
      </c>
      <c r="AN428" s="6" t="n">
        <f aca="false">$R$2 + SUMPRODUCT(AD428:AM428,$S$2:$AB$2)</f>
        <v>1.101757651</v>
      </c>
      <c r="AO428" s="6" t="n">
        <f aca="false">1/(1+EXP(-AN428))</f>
        <v>0.750589291567518</v>
      </c>
    </row>
    <row r="429" customFormat="false" ht="15" hidden="false" customHeight="false" outlineLevel="0" collapsed="false">
      <c r="A429" s="3" t="s">
        <v>493</v>
      </c>
      <c r="B429" s="4" t="n">
        <v>41</v>
      </c>
      <c r="C429" s="4" t="n">
        <v>77900</v>
      </c>
      <c r="D429" s="4" t="n">
        <v>5</v>
      </c>
      <c r="E429" s="5" t="n">
        <v>70.46</v>
      </c>
      <c r="F429" s="4" t="n">
        <v>6</v>
      </c>
      <c r="G429" s="5" t="n">
        <v>0.65</v>
      </c>
      <c r="H429" s="4" t="n">
        <v>2</v>
      </c>
      <c r="I429" s="4" t="n">
        <v>1</v>
      </c>
      <c r="J429" s="4" t="n">
        <v>1</v>
      </c>
      <c r="K429" s="5" t="n">
        <v>0.31</v>
      </c>
      <c r="L429" s="4" t="n">
        <v>1</v>
      </c>
      <c r="M429" s="6" t="n">
        <f aca="false">$R$2 + SUMPRODUCT(B429:K429,$S$2:$AB$2)</f>
        <v>2.53993056</v>
      </c>
      <c r="N429" s="6" t="n">
        <f aca="false">1/(1+EXP(-M429))</f>
        <v>0.926894121364852</v>
      </c>
      <c r="O429" s="6" t="n">
        <f aca="false">IF(L429=1,N429,1-N429)</f>
        <v>0.926894121364852</v>
      </c>
      <c r="P429" s="6" t="n">
        <f aca="false">LN(O429)</f>
        <v>-0.0759159363743712</v>
      </c>
      <c r="AD429" s="8" t="n">
        <f aca="false">B429</f>
        <v>41</v>
      </c>
      <c r="AE429" s="8" t="n">
        <f aca="false">C429</f>
        <v>77900</v>
      </c>
      <c r="AF429" s="8" t="n">
        <f aca="false">D429</f>
        <v>5</v>
      </c>
      <c r="AG429" s="9" t="n">
        <f aca="false">E429*0.85</f>
        <v>59.891</v>
      </c>
      <c r="AH429" s="9" t="n">
        <f aca="false">F429*0.9</f>
        <v>5.4</v>
      </c>
      <c r="AI429" s="9" t="n">
        <f aca="false">G429</f>
        <v>0.65</v>
      </c>
      <c r="AJ429" s="9" t="n">
        <f aca="false">H429*1.2</f>
        <v>2.4</v>
      </c>
      <c r="AK429" s="8" t="n">
        <f aca="false">I429</f>
        <v>1</v>
      </c>
      <c r="AL429" s="8" t="n">
        <f aca="false">J429</f>
        <v>1</v>
      </c>
      <c r="AM429" s="9" t="n">
        <f aca="false">K429</f>
        <v>0.31</v>
      </c>
      <c r="AN429" s="6" t="n">
        <f aca="false">$R$2 + SUMPRODUCT(AD429:AM429,$S$2:$AB$2)</f>
        <v>2.326016183</v>
      </c>
      <c r="AO429" s="6" t="n">
        <f aca="false">1/(1+EXP(-AN429))</f>
        <v>0.911008890355346</v>
      </c>
    </row>
    <row r="430" customFormat="false" ht="15" hidden="false" customHeight="false" outlineLevel="0" collapsed="false">
      <c r="A430" s="3" t="s">
        <v>494</v>
      </c>
      <c r="B430" s="4" t="n">
        <v>30</v>
      </c>
      <c r="C430" s="4" t="n">
        <v>68000</v>
      </c>
      <c r="D430" s="4" t="n">
        <v>3</v>
      </c>
      <c r="E430" s="5" t="n">
        <v>90.24</v>
      </c>
      <c r="F430" s="4" t="n">
        <v>4</v>
      </c>
      <c r="G430" s="5" t="n">
        <v>0.5</v>
      </c>
      <c r="H430" s="4" t="n">
        <v>353</v>
      </c>
      <c r="I430" s="4" t="n">
        <v>0</v>
      </c>
      <c r="J430" s="4" t="n">
        <v>1</v>
      </c>
      <c r="K430" s="5" t="n">
        <v>0.38</v>
      </c>
      <c r="L430" s="4" t="n">
        <v>0</v>
      </c>
      <c r="M430" s="6" t="n">
        <f aca="false">$R$2 + SUMPRODUCT(B430:K430,$S$2:$AB$2)</f>
        <v>-0.819503039999999</v>
      </c>
      <c r="N430" s="6" t="n">
        <f aca="false">1/(1+EXP(-M430))</f>
        <v>0.305869160888034</v>
      </c>
      <c r="O430" s="6" t="n">
        <f aca="false">IF(L430=1,N430,1-N430)</f>
        <v>0.694130839111966</v>
      </c>
      <c r="P430" s="6" t="n">
        <f aca="false">LN(O430)</f>
        <v>-0.36509480726491</v>
      </c>
      <c r="AD430" s="8" t="n">
        <f aca="false">B430</f>
        <v>30</v>
      </c>
      <c r="AE430" s="8" t="n">
        <f aca="false">C430</f>
        <v>68000</v>
      </c>
      <c r="AF430" s="8" t="n">
        <f aca="false">D430</f>
        <v>3</v>
      </c>
      <c r="AG430" s="9" t="n">
        <f aca="false">E430*0.85</f>
        <v>76.704</v>
      </c>
      <c r="AH430" s="9" t="n">
        <f aca="false">F430*0.9</f>
        <v>3.6</v>
      </c>
      <c r="AI430" s="9" t="n">
        <f aca="false">G430</f>
        <v>0.5</v>
      </c>
      <c r="AJ430" s="9" t="n">
        <f aca="false">H430*1.2</f>
        <v>423.6</v>
      </c>
      <c r="AK430" s="8" t="n">
        <f aca="false">I430</f>
        <v>0</v>
      </c>
      <c r="AL430" s="8" t="n">
        <f aca="false">J430</f>
        <v>1</v>
      </c>
      <c r="AM430" s="9" t="n">
        <f aca="false">K430</f>
        <v>0.38</v>
      </c>
      <c r="AN430" s="6" t="n">
        <f aca="false">$R$2 + SUMPRODUCT(AD430:AM430,$S$2:$AB$2)</f>
        <v>-1.454272128</v>
      </c>
      <c r="AO430" s="6" t="n">
        <f aca="false">1/(1+EXP(-AN430))</f>
        <v>0.189344951955641</v>
      </c>
    </row>
    <row r="431" customFormat="false" ht="15" hidden="false" customHeight="false" outlineLevel="0" collapsed="false">
      <c r="A431" s="3" t="s">
        <v>495</v>
      </c>
      <c r="B431" s="4" t="n">
        <v>24</v>
      </c>
      <c r="C431" s="4" t="n">
        <v>34700</v>
      </c>
      <c r="D431" s="4" t="n">
        <v>4</v>
      </c>
      <c r="E431" s="5" t="n">
        <v>43.88</v>
      </c>
      <c r="F431" s="4" t="n">
        <v>4</v>
      </c>
      <c r="G431" s="5" t="n">
        <v>0.26</v>
      </c>
      <c r="H431" s="4" t="n">
        <v>295</v>
      </c>
      <c r="I431" s="4" t="n">
        <v>0</v>
      </c>
      <c r="J431" s="4" t="n">
        <v>0</v>
      </c>
      <c r="K431" s="5" t="n">
        <v>0.15</v>
      </c>
      <c r="L431" s="4" t="n">
        <v>0</v>
      </c>
      <c r="M431" s="6" t="n">
        <f aca="false">$R$2 + SUMPRODUCT(B431:K431,$S$2:$AB$2)</f>
        <v>-2.90397055</v>
      </c>
      <c r="N431" s="6" t="n">
        <f aca="false">1/(1+EXP(-M431))</f>
        <v>0.0519576332803979</v>
      </c>
      <c r="O431" s="6" t="n">
        <f aca="false">IF(L431=1,N431,1-N431)</f>
        <v>0.948042366719602</v>
      </c>
      <c r="P431" s="6" t="n">
        <f aca="false">LN(O431)</f>
        <v>-0.0533560870932201</v>
      </c>
      <c r="AD431" s="8" t="n">
        <f aca="false">B431</f>
        <v>24</v>
      </c>
      <c r="AE431" s="8" t="n">
        <f aca="false">C431</f>
        <v>34700</v>
      </c>
      <c r="AF431" s="8" t="n">
        <f aca="false">D431</f>
        <v>4</v>
      </c>
      <c r="AG431" s="9" t="n">
        <f aca="false">E431*0.85</f>
        <v>37.298</v>
      </c>
      <c r="AH431" s="9" t="n">
        <f aca="false">F431*0.9</f>
        <v>3.6</v>
      </c>
      <c r="AI431" s="9" t="n">
        <f aca="false">G431</f>
        <v>0.26</v>
      </c>
      <c r="AJ431" s="9" t="n">
        <f aca="false">H431*1.2</f>
        <v>354</v>
      </c>
      <c r="AK431" s="8" t="n">
        <f aca="false">I431</f>
        <v>0</v>
      </c>
      <c r="AL431" s="8" t="n">
        <f aca="false">J431</f>
        <v>0</v>
      </c>
      <c r="AM431" s="9" t="n">
        <f aca="false">K431</f>
        <v>0.15</v>
      </c>
      <c r="AN431" s="6" t="n">
        <f aca="false">$R$2 + SUMPRODUCT(AD431:AM431,$S$2:$AB$2)</f>
        <v>-3.378533756</v>
      </c>
      <c r="AO431" s="6" t="n">
        <f aca="false">1/(1+EXP(-AN431))</f>
        <v>0.0329731152900935</v>
      </c>
    </row>
    <row r="432" customFormat="false" ht="15" hidden="false" customHeight="false" outlineLevel="0" collapsed="false">
      <c r="A432" s="3" t="s">
        <v>496</v>
      </c>
      <c r="B432" s="4" t="n">
        <v>53</v>
      </c>
      <c r="C432" s="4" t="n">
        <v>45600</v>
      </c>
      <c r="D432" s="4" t="n">
        <v>5</v>
      </c>
      <c r="E432" s="5" t="n">
        <v>27.52</v>
      </c>
      <c r="F432" s="4" t="n">
        <v>5</v>
      </c>
      <c r="G432" s="5" t="n">
        <v>0.23</v>
      </c>
      <c r="H432" s="4" t="n">
        <v>312</v>
      </c>
      <c r="I432" s="4" t="n">
        <v>1</v>
      </c>
      <c r="J432" s="4" t="n">
        <v>1</v>
      </c>
      <c r="K432" s="5" t="n">
        <v>0.42</v>
      </c>
      <c r="L432" s="4" t="n">
        <v>0</v>
      </c>
      <c r="M432" s="6" t="n">
        <f aca="false">$R$2 + SUMPRODUCT(B432:K432,$S$2:$AB$2)</f>
        <v>-1.38745565</v>
      </c>
      <c r="N432" s="6" t="n">
        <f aca="false">1/(1+EXP(-M432))</f>
        <v>0.199814258509915</v>
      </c>
      <c r="O432" s="6" t="n">
        <f aca="false">IF(L432=1,N432,1-N432)</f>
        <v>0.800185741490085</v>
      </c>
      <c r="P432" s="6" t="n">
        <f aca="false">LN(O432)</f>
        <v>-0.22291140140048</v>
      </c>
      <c r="AD432" s="8" t="n">
        <f aca="false">B432</f>
        <v>53</v>
      </c>
      <c r="AE432" s="8" t="n">
        <f aca="false">C432</f>
        <v>45600</v>
      </c>
      <c r="AF432" s="8" t="n">
        <f aca="false">D432</f>
        <v>5</v>
      </c>
      <c r="AG432" s="9" t="n">
        <f aca="false">E432*0.85</f>
        <v>23.392</v>
      </c>
      <c r="AH432" s="9" t="n">
        <f aca="false">F432*0.9</f>
        <v>4.5</v>
      </c>
      <c r="AI432" s="9" t="n">
        <f aca="false">G432</f>
        <v>0.23</v>
      </c>
      <c r="AJ432" s="9" t="n">
        <f aca="false">H432*1.2</f>
        <v>374.4</v>
      </c>
      <c r="AK432" s="8" t="n">
        <f aca="false">I432</f>
        <v>1</v>
      </c>
      <c r="AL432" s="8" t="n">
        <f aca="false">J432</f>
        <v>1</v>
      </c>
      <c r="AM432" s="9" t="n">
        <f aca="false">K432</f>
        <v>0.42</v>
      </c>
      <c r="AN432" s="6" t="n">
        <f aca="false">$R$2 + SUMPRODUCT(AD432:AM432,$S$2:$AB$2)</f>
        <v>-1.860237774</v>
      </c>
      <c r="AO432" s="6" t="n">
        <f aca="false">1/(1+EXP(-AN432))</f>
        <v>0.134675339864058</v>
      </c>
    </row>
    <row r="433" customFormat="false" ht="15" hidden="false" customHeight="false" outlineLevel="0" collapsed="false">
      <c r="A433" s="3" t="s">
        <v>497</v>
      </c>
      <c r="B433" s="4" t="n">
        <v>62</v>
      </c>
      <c r="C433" s="4" t="n">
        <v>63800</v>
      </c>
      <c r="D433" s="4" t="n">
        <v>4</v>
      </c>
      <c r="E433" s="5" t="n">
        <v>62.7</v>
      </c>
      <c r="F433" s="4" t="n">
        <v>6</v>
      </c>
      <c r="G433" s="5" t="n">
        <v>0.62</v>
      </c>
      <c r="H433" s="4" t="n">
        <v>363</v>
      </c>
      <c r="I433" s="4" t="n">
        <v>0</v>
      </c>
      <c r="J433" s="4" t="n">
        <v>1</v>
      </c>
      <c r="K433" s="5" t="n">
        <v>0.41</v>
      </c>
      <c r="L433" s="4" t="n">
        <v>0</v>
      </c>
      <c r="M433" s="6" t="n">
        <f aca="false">$R$2 + SUMPRODUCT(B433:K433,$S$2:$AB$2)</f>
        <v>-1.05911935</v>
      </c>
      <c r="N433" s="6" t="n">
        <f aca="false">1/(1+EXP(-M433))</f>
        <v>0.257477784021851</v>
      </c>
      <c r="O433" s="6" t="n">
        <f aca="false">IF(L433=1,N433,1-N433)</f>
        <v>0.742522215978149</v>
      </c>
      <c r="P433" s="6" t="n">
        <f aca="false">LN(O433)</f>
        <v>-0.297702488243601</v>
      </c>
      <c r="AD433" s="8" t="n">
        <f aca="false">B433</f>
        <v>62</v>
      </c>
      <c r="AE433" s="8" t="n">
        <f aca="false">C433</f>
        <v>63800</v>
      </c>
      <c r="AF433" s="8" t="n">
        <f aca="false">D433</f>
        <v>4</v>
      </c>
      <c r="AG433" s="9" t="n">
        <f aca="false">E433*0.85</f>
        <v>53.295</v>
      </c>
      <c r="AH433" s="9" t="n">
        <f aca="false">F433*0.9</f>
        <v>5.4</v>
      </c>
      <c r="AI433" s="9" t="n">
        <f aca="false">G433</f>
        <v>0.62</v>
      </c>
      <c r="AJ433" s="9" t="n">
        <f aca="false">H433*1.2</f>
        <v>435.6</v>
      </c>
      <c r="AK433" s="8" t="n">
        <f aca="false">I433</f>
        <v>0</v>
      </c>
      <c r="AL433" s="8" t="n">
        <f aca="false">J433</f>
        <v>1</v>
      </c>
      <c r="AM433" s="9" t="n">
        <f aca="false">K433</f>
        <v>0.41</v>
      </c>
      <c r="AN433" s="6" t="n">
        <f aca="false">$R$2 + SUMPRODUCT(AD433:AM433,$S$2:$AB$2)</f>
        <v>-1.673125315</v>
      </c>
      <c r="AO433" s="6" t="n">
        <f aca="false">1/(1+EXP(-AN433))</f>
        <v>0.158007937916604</v>
      </c>
    </row>
    <row r="434" customFormat="false" ht="15" hidden="false" customHeight="false" outlineLevel="0" collapsed="false">
      <c r="A434" s="3" t="s">
        <v>498</v>
      </c>
      <c r="B434" s="4" t="n">
        <v>37</v>
      </c>
      <c r="C434" s="4" t="n">
        <v>33000</v>
      </c>
      <c r="D434" s="4" t="n">
        <v>4</v>
      </c>
      <c r="E434" s="5" t="n">
        <v>62.81</v>
      </c>
      <c r="F434" s="4" t="n">
        <v>4</v>
      </c>
      <c r="G434" s="5" t="n">
        <v>0.35</v>
      </c>
      <c r="H434" s="4" t="n">
        <v>239</v>
      </c>
      <c r="I434" s="4" t="n">
        <v>1</v>
      </c>
      <c r="J434" s="4" t="n">
        <v>0</v>
      </c>
      <c r="K434" s="5" t="n">
        <v>0.56</v>
      </c>
      <c r="L434" s="4" t="n">
        <v>0</v>
      </c>
      <c r="M434" s="6" t="n">
        <f aca="false">$R$2 + SUMPRODUCT(B434:K434,$S$2:$AB$2)</f>
        <v>-1.17522594</v>
      </c>
      <c r="N434" s="6" t="n">
        <f aca="false">1/(1+EXP(-M434))</f>
        <v>0.235911670425834</v>
      </c>
      <c r="O434" s="6" t="n">
        <f aca="false">IF(L434=1,N434,1-N434)</f>
        <v>0.764088329574166</v>
      </c>
      <c r="P434" s="6" t="n">
        <f aca="false">LN(O434)</f>
        <v>-0.269071881872601</v>
      </c>
      <c r="AD434" s="8" t="n">
        <f aca="false">B434</f>
        <v>37</v>
      </c>
      <c r="AE434" s="8" t="n">
        <f aca="false">C434</f>
        <v>33000</v>
      </c>
      <c r="AF434" s="8" t="n">
        <f aca="false">D434</f>
        <v>4</v>
      </c>
      <c r="AG434" s="9" t="n">
        <f aca="false">E434*0.85</f>
        <v>53.3885</v>
      </c>
      <c r="AH434" s="9" t="n">
        <f aca="false">F434*0.9</f>
        <v>3.6</v>
      </c>
      <c r="AI434" s="9" t="n">
        <f aca="false">G434</f>
        <v>0.35</v>
      </c>
      <c r="AJ434" s="9" t="n">
        <f aca="false">H434*1.2</f>
        <v>286.8</v>
      </c>
      <c r="AK434" s="8" t="n">
        <f aca="false">I434</f>
        <v>1</v>
      </c>
      <c r="AL434" s="8" t="n">
        <f aca="false">J434</f>
        <v>0</v>
      </c>
      <c r="AM434" s="9" t="n">
        <f aca="false">K434</f>
        <v>0.56</v>
      </c>
      <c r="AN434" s="6" t="n">
        <f aca="false">$R$2 + SUMPRODUCT(AD434:AM434,$S$2:$AB$2)</f>
        <v>-1.6234425495</v>
      </c>
      <c r="AO434" s="6" t="n">
        <f aca="false">1/(1+EXP(-AN434))</f>
        <v>0.164730647576023</v>
      </c>
    </row>
    <row r="435" customFormat="false" ht="15" hidden="false" customHeight="false" outlineLevel="0" collapsed="false">
      <c r="A435" s="3" t="s">
        <v>499</v>
      </c>
      <c r="B435" s="4" t="n">
        <v>18</v>
      </c>
      <c r="C435" s="4" t="n">
        <v>67800</v>
      </c>
      <c r="D435" s="4" t="n">
        <v>8</v>
      </c>
      <c r="E435" s="5" t="n">
        <v>78.71</v>
      </c>
      <c r="F435" s="4" t="n">
        <v>6</v>
      </c>
      <c r="G435" s="5" t="n">
        <v>0.23</v>
      </c>
      <c r="H435" s="4" t="n">
        <v>13</v>
      </c>
      <c r="I435" s="4" t="n">
        <v>0</v>
      </c>
      <c r="J435" s="4" t="n">
        <v>1</v>
      </c>
      <c r="K435" s="5" t="n">
        <v>0.32</v>
      </c>
      <c r="L435" s="4" t="n">
        <v>1</v>
      </c>
      <c r="M435" s="6" t="n">
        <f aca="false">$R$2 + SUMPRODUCT(B435:K435,$S$2:$AB$2)</f>
        <v>1.78000232</v>
      </c>
      <c r="N435" s="6" t="n">
        <f aca="false">1/(1+EXP(-M435))</f>
        <v>0.855697152382241</v>
      </c>
      <c r="O435" s="6" t="n">
        <f aca="false">IF(L435=1,N435,1-N435)</f>
        <v>0.855697152382241</v>
      </c>
      <c r="P435" s="6" t="n">
        <f aca="false">LN(O435)</f>
        <v>-0.155838759386219</v>
      </c>
      <c r="AD435" s="8" t="n">
        <f aca="false">B435</f>
        <v>18</v>
      </c>
      <c r="AE435" s="8" t="n">
        <f aca="false">C435</f>
        <v>67800</v>
      </c>
      <c r="AF435" s="8" t="n">
        <f aca="false">D435</f>
        <v>8</v>
      </c>
      <c r="AG435" s="9" t="n">
        <f aca="false">E435*0.85</f>
        <v>66.9035</v>
      </c>
      <c r="AH435" s="9" t="n">
        <f aca="false">F435*0.9</f>
        <v>5.4</v>
      </c>
      <c r="AI435" s="9" t="n">
        <f aca="false">G435</f>
        <v>0.23</v>
      </c>
      <c r="AJ435" s="9" t="n">
        <f aca="false">H435*1.2</f>
        <v>15.6</v>
      </c>
      <c r="AK435" s="8" t="n">
        <f aca="false">I435</f>
        <v>0</v>
      </c>
      <c r="AL435" s="8" t="n">
        <f aca="false">J435</f>
        <v>1</v>
      </c>
      <c r="AM435" s="9" t="n">
        <f aca="false">K435</f>
        <v>0.32</v>
      </c>
      <c r="AN435" s="6" t="n">
        <f aca="false">$R$2 + SUMPRODUCT(AD435:AM435,$S$2:$AB$2)</f>
        <v>1.5367970055</v>
      </c>
      <c r="AO435" s="6" t="n">
        <f aca="false">1/(1+EXP(-AN435))</f>
        <v>0.82299862156891</v>
      </c>
    </row>
    <row r="436" customFormat="false" ht="15" hidden="false" customHeight="false" outlineLevel="0" collapsed="false">
      <c r="A436" s="3" t="s">
        <v>500</v>
      </c>
      <c r="B436" s="4" t="n">
        <v>25</v>
      </c>
      <c r="C436" s="4" t="n">
        <v>50700</v>
      </c>
      <c r="D436" s="4" t="n">
        <v>7</v>
      </c>
      <c r="E436" s="5" t="n">
        <v>88.74</v>
      </c>
      <c r="F436" s="4" t="n">
        <v>2</v>
      </c>
      <c r="G436" s="5" t="n">
        <v>0.47</v>
      </c>
      <c r="H436" s="4" t="n">
        <v>184</v>
      </c>
      <c r="I436" s="4" t="n">
        <v>0</v>
      </c>
      <c r="J436" s="4" t="n">
        <v>0</v>
      </c>
      <c r="K436" s="5" t="n">
        <v>0.37</v>
      </c>
      <c r="L436" s="4" t="n">
        <v>1</v>
      </c>
      <c r="M436" s="6" t="n">
        <f aca="false">$R$2 + SUMPRODUCT(B436:K436,$S$2:$AB$2)</f>
        <v>-0.37333</v>
      </c>
      <c r="N436" s="6" t="n">
        <f aca="false">1/(1+EXP(-M436))</f>
        <v>0.407736621897191</v>
      </c>
      <c r="O436" s="6" t="n">
        <f aca="false">IF(L436=1,N436,1-N436)</f>
        <v>0.407736621897191</v>
      </c>
      <c r="P436" s="6" t="n">
        <f aca="false">LN(O436)</f>
        <v>-0.897133847590832</v>
      </c>
      <c r="AD436" s="8" t="n">
        <f aca="false">B436</f>
        <v>25</v>
      </c>
      <c r="AE436" s="8" t="n">
        <f aca="false">C436</f>
        <v>50700</v>
      </c>
      <c r="AF436" s="8" t="n">
        <f aca="false">D436</f>
        <v>7</v>
      </c>
      <c r="AG436" s="9" t="n">
        <f aca="false">E436*0.85</f>
        <v>75.429</v>
      </c>
      <c r="AH436" s="9" t="n">
        <f aca="false">F436*0.9</f>
        <v>1.8</v>
      </c>
      <c r="AI436" s="9" t="n">
        <f aca="false">G436</f>
        <v>0.47</v>
      </c>
      <c r="AJ436" s="9" t="n">
        <f aca="false">H436*1.2</f>
        <v>220.8</v>
      </c>
      <c r="AK436" s="8" t="n">
        <f aca="false">I436</f>
        <v>0</v>
      </c>
      <c r="AL436" s="8" t="n">
        <f aca="false">J436</f>
        <v>0</v>
      </c>
      <c r="AM436" s="9" t="n">
        <f aca="false">K436</f>
        <v>0.37</v>
      </c>
      <c r="AN436" s="6" t="n">
        <f aca="false">$R$2 + SUMPRODUCT(AD436:AM436,$S$2:$AB$2)</f>
        <v>-0.787243663</v>
      </c>
      <c r="AO436" s="6" t="n">
        <f aca="false">1/(1+EXP(-AN436))</f>
        <v>0.312760814614215</v>
      </c>
    </row>
    <row r="437" customFormat="false" ht="15" hidden="false" customHeight="false" outlineLevel="0" collapsed="false">
      <c r="A437" s="3" t="s">
        <v>501</v>
      </c>
      <c r="B437" s="4" t="n">
        <v>63</v>
      </c>
      <c r="C437" s="4" t="n">
        <v>48300</v>
      </c>
      <c r="D437" s="4" t="n">
        <v>4</v>
      </c>
      <c r="E437" s="5" t="n">
        <v>63.51</v>
      </c>
      <c r="F437" s="4" t="n">
        <v>3</v>
      </c>
      <c r="G437" s="5" t="n">
        <v>0.57</v>
      </c>
      <c r="H437" s="4" t="n">
        <v>194</v>
      </c>
      <c r="I437" s="4" t="n">
        <v>1</v>
      </c>
      <c r="J437" s="4" t="n">
        <v>1</v>
      </c>
      <c r="K437" s="5" t="n">
        <v>0.25</v>
      </c>
      <c r="L437" s="4" t="n">
        <v>1</v>
      </c>
      <c r="M437" s="6" t="n">
        <f aca="false">$R$2 + SUMPRODUCT(B437:K437,$S$2:$AB$2)</f>
        <v>-0.33114045</v>
      </c>
      <c r="N437" s="6" t="n">
        <f aca="false">1/(1+EXP(-M437))</f>
        <v>0.417963160006757</v>
      </c>
      <c r="O437" s="6" t="n">
        <f aca="false">IF(L437=1,N437,1-N437)</f>
        <v>0.417963160006757</v>
      </c>
      <c r="P437" s="6" t="n">
        <f aca="false">LN(O437)</f>
        <v>-0.872361984296532</v>
      </c>
      <c r="AD437" s="8" t="n">
        <f aca="false">B437</f>
        <v>63</v>
      </c>
      <c r="AE437" s="8" t="n">
        <f aca="false">C437</f>
        <v>48300</v>
      </c>
      <c r="AF437" s="8" t="n">
        <f aca="false">D437</f>
        <v>4</v>
      </c>
      <c r="AG437" s="9" t="n">
        <f aca="false">E437*0.85</f>
        <v>53.9835</v>
      </c>
      <c r="AH437" s="9" t="n">
        <f aca="false">F437*0.9</f>
        <v>2.7</v>
      </c>
      <c r="AI437" s="9" t="n">
        <f aca="false">G437</f>
        <v>0.57</v>
      </c>
      <c r="AJ437" s="9" t="n">
        <f aca="false">H437*1.2</f>
        <v>232.8</v>
      </c>
      <c r="AK437" s="8" t="n">
        <f aca="false">I437</f>
        <v>1</v>
      </c>
      <c r="AL437" s="8" t="n">
        <f aca="false">J437</f>
        <v>1</v>
      </c>
      <c r="AM437" s="9" t="n">
        <f aca="false">K437</f>
        <v>0.25</v>
      </c>
      <c r="AN437" s="6" t="n">
        <f aca="false">$R$2 + SUMPRODUCT(AD437:AM437,$S$2:$AB$2)</f>
        <v>-0.7173392245</v>
      </c>
      <c r="AO437" s="6" t="n">
        <f aca="false">1/(1+EXP(-AN437))</f>
        <v>0.327979172710274</v>
      </c>
    </row>
    <row r="438" customFormat="false" ht="15" hidden="false" customHeight="false" outlineLevel="0" collapsed="false">
      <c r="A438" s="3" t="s">
        <v>502</v>
      </c>
      <c r="B438" s="4" t="n">
        <v>33</v>
      </c>
      <c r="C438" s="4" t="n">
        <v>67800</v>
      </c>
      <c r="D438" s="4" t="n">
        <v>5</v>
      </c>
      <c r="E438" s="5" t="n">
        <v>111.39</v>
      </c>
      <c r="F438" s="4" t="n">
        <v>4</v>
      </c>
      <c r="G438" s="5" t="n">
        <v>0.28</v>
      </c>
      <c r="H438" s="4" t="n">
        <v>56</v>
      </c>
      <c r="I438" s="4" t="n">
        <v>1</v>
      </c>
      <c r="J438" s="4" t="n">
        <v>1</v>
      </c>
      <c r="K438" s="5" t="n">
        <v>0.74</v>
      </c>
      <c r="L438" s="4" t="n">
        <v>1</v>
      </c>
      <c r="M438" s="6" t="n">
        <f aca="false">$R$2 + SUMPRODUCT(B438:K438,$S$2:$AB$2)</f>
        <v>2.28563117</v>
      </c>
      <c r="N438" s="6" t="n">
        <f aca="false">1/(1+EXP(-M438))</f>
        <v>0.907680006635176</v>
      </c>
      <c r="O438" s="6" t="n">
        <f aca="false">IF(L438=1,N438,1-N438)</f>
        <v>0.907680006635176</v>
      </c>
      <c r="P438" s="6" t="n">
        <f aca="false">LN(O438)</f>
        <v>-0.0968633780938412</v>
      </c>
      <c r="AD438" s="8" t="n">
        <f aca="false">B438</f>
        <v>33</v>
      </c>
      <c r="AE438" s="8" t="n">
        <f aca="false">C438</f>
        <v>67800</v>
      </c>
      <c r="AF438" s="8" t="n">
        <f aca="false">D438</f>
        <v>5</v>
      </c>
      <c r="AG438" s="9" t="n">
        <f aca="false">E438*0.85</f>
        <v>94.6815</v>
      </c>
      <c r="AH438" s="9" t="n">
        <f aca="false">F438*0.9</f>
        <v>3.6</v>
      </c>
      <c r="AI438" s="9" t="n">
        <f aca="false">G438</f>
        <v>0.28</v>
      </c>
      <c r="AJ438" s="9" t="n">
        <f aca="false">H438*1.2</f>
        <v>67.2</v>
      </c>
      <c r="AK438" s="8" t="n">
        <f aca="false">I438</f>
        <v>1</v>
      </c>
      <c r="AL438" s="8" t="n">
        <f aca="false">J438</f>
        <v>1</v>
      </c>
      <c r="AM438" s="9" t="n">
        <f aca="false">K438</f>
        <v>0.74</v>
      </c>
      <c r="AN438" s="6" t="n">
        <f aca="false">$R$2 + SUMPRODUCT(AD438:AM438,$S$2:$AB$2)</f>
        <v>1.9502710895</v>
      </c>
      <c r="AO438" s="6" t="n">
        <f aca="false">1/(1+EXP(-AN438))</f>
        <v>0.875476198354202</v>
      </c>
    </row>
    <row r="439" customFormat="false" ht="15" hidden="false" customHeight="false" outlineLevel="0" collapsed="false">
      <c r="A439" s="3" t="s">
        <v>503</v>
      </c>
      <c r="B439" s="4" t="n">
        <v>31</v>
      </c>
      <c r="C439" s="4" t="n">
        <v>63000</v>
      </c>
      <c r="D439" s="4" t="n">
        <v>6</v>
      </c>
      <c r="E439" s="5" t="n">
        <v>70.61</v>
      </c>
      <c r="F439" s="4" t="n">
        <v>5</v>
      </c>
      <c r="G439" s="5" t="n">
        <v>0.8</v>
      </c>
      <c r="H439" s="4" t="n">
        <v>230</v>
      </c>
      <c r="I439" s="4" t="n">
        <v>0</v>
      </c>
      <c r="J439" s="4" t="n">
        <v>0</v>
      </c>
      <c r="K439" s="5" t="n">
        <v>0.25</v>
      </c>
      <c r="L439" s="4" t="n">
        <v>1</v>
      </c>
      <c r="M439" s="6" t="n">
        <f aca="false">$R$2 + SUMPRODUCT(B439:K439,$S$2:$AB$2)</f>
        <v>-0.10061482</v>
      </c>
      <c r="N439" s="6" t="n">
        <f aca="false">1/(1+EXP(-M439))</f>
        <v>0.474867493503486</v>
      </c>
      <c r="O439" s="6" t="n">
        <f aca="false">IF(L439=1,N439,1-N439)</f>
        <v>0.474867493503486</v>
      </c>
      <c r="P439" s="6" t="n">
        <f aca="false">LN(O439)</f>
        <v>-0.744719474909658</v>
      </c>
      <c r="AD439" s="8" t="n">
        <f aca="false">B439</f>
        <v>31</v>
      </c>
      <c r="AE439" s="8" t="n">
        <f aca="false">C439</f>
        <v>63000</v>
      </c>
      <c r="AF439" s="8" t="n">
        <f aca="false">D439</f>
        <v>6</v>
      </c>
      <c r="AG439" s="9" t="n">
        <f aca="false">E439*0.85</f>
        <v>60.0185</v>
      </c>
      <c r="AH439" s="9" t="n">
        <f aca="false">F439*0.9</f>
        <v>4.5</v>
      </c>
      <c r="AI439" s="9" t="n">
        <f aca="false">G439</f>
        <v>0.8</v>
      </c>
      <c r="AJ439" s="9" t="n">
        <f aca="false">H439*1.2</f>
        <v>276</v>
      </c>
      <c r="AK439" s="8" t="n">
        <f aca="false">I439</f>
        <v>0</v>
      </c>
      <c r="AL439" s="8" t="n">
        <f aca="false">J439</f>
        <v>0</v>
      </c>
      <c r="AM439" s="9" t="n">
        <f aca="false">K439</f>
        <v>0.25</v>
      </c>
      <c r="AN439" s="6" t="n">
        <f aca="false">$R$2 + SUMPRODUCT(AD439:AM439,$S$2:$AB$2)</f>
        <v>-0.5657899395</v>
      </c>
      <c r="AO439" s="6" t="n">
        <f aca="false">1/(1+EXP(-AN439))</f>
        <v>0.362208840757465</v>
      </c>
    </row>
    <row r="440" customFormat="false" ht="15" hidden="false" customHeight="false" outlineLevel="0" collapsed="false">
      <c r="A440" s="3" t="s">
        <v>504</v>
      </c>
      <c r="B440" s="4" t="n">
        <v>29</v>
      </c>
      <c r="C440" s="4" t="n">
        <v>48500</v>
      </c>
      <c r="D440" s="4" t="n">
        <v>4</v>
      </c>
      <c r="E440" s="5" t="n">
        <v>56.34</v>
      </c>
      <c r="F440" s="4" t="n">
        <v>4</v>
      </c>
      <c r="G440" s="5" t="n">
        <v>0.13</v>
      </c>
      <c r="H440" s="4" t="n">
        <v>28</v>
      </c>
      <c r="I440" s="4" t="n">
        <v>1</v>
      </c>
      <c r="J440" s="4" t="n">
        <v>0</v>
      </c>
      <c r="K440" s="5" t="n">
        <v>0.28</v>
      </c>
      <c r="L440" s="4" t="n">
        <v>0</v>
      </c>
      <c r="M440" s="6" t="n">
        <f aca="false">$R$2 + SUMPRODUCT(B440:K440,$S$2:$AB$2)</f>
        <v>-0.280872309999999</v>
      </c>
      <c r="N440" s="6" t="n">
        <f aca="false">1/(1+EXP(-M440))</f>
        <v>0.430239930629394</v>
      </c>
      <c r="O440" s="6" t="n">
        <f aca="false">IF(L440=1,N440,1-N440)</f>
        <v>0.569760069370606</v>
      </c>
      <c r="P440" s="6" t="n">
        <f aca="false">LN(O440)</f>
        <v>-0.562539937698594</v>
      </c>
      <c r="AD440" s="8" t="n">
        <f aca="false">B440</f>
        <v>29</v>
      </c>
      <c r="AE440" s="8" t="n">
        <f aca="false">C440</f>
        <v>48500</v>
      </c>
      <c r="AF440" s="8" t="n">
        <f aca="false">D440</f>
        <v>4</v>
      </c>
      <c r="AG440" s="9" t="n">
        <f aca="false">E440*0.85</f>
        <v>47.889</v>
      </c>
      <c r="AH440" s="9" t="n">
        <f aca="false">F440*0.9</f>
        <v>3.6</v>
      </c>
      <c r="AI440" s="9" t="n">
        <f aca="false">G440</f>
        <v>0.13</v>
      </c>
      <c r="AJ440" s="9" t="n">
        <f aca="false">H440*1.2</f>
        <v>33.6</v>
      </c>
      <c r="AK440" s="8" t="n">
        <f aca="false">I440</f>
        <v>1</v>
      </c>
      <c r="AL440" s="8" t="n">
        <f aca="false">J440</f>
        <v>0</v>
      </c>
      <c r="AM440" s="9" t="n">
        <f aca="false">K440</f>
        <v>0.28</v>
      </c>
      <c r="AN440" s="6" t="n">
        <f aca="false">$R$2 + SUMPRODUCT(AD440:AM440,$S$2:$AB$2)</f>
        <v>-0.473064593</v>
      </c>
      <c r="AO440" s="6" t="n">
        <f aca="false">1/(1+EXP(-AN440))</f>
        <v>0.383891152508491</v>
      </c>
    </row>
    <row r="441" customFormat="false" ht="15" hidden="false" customHeight="false" outlineLevel="0" collapsed="false">
      <c r="A441" s="3" t="s">
        <v>505</v>
      </c>
      <c r="B441" s="4" t="n">
        <v>68</v>
      </c>
      <c r="C441" s="4" t="n">
        <v>75900</v>
      </c>
      <c r="D441" s="4" t="n">
        <v>3</v>
      </c>
      <c r="E441" s="5" t="n">
        <v>24.71</v>
      </c>
      <c r="F441" s="4" t="n">
        <v>6</v>
      </c>
      <c r="G441" s="5" t="n">
        <v>0.08</v>
      </c>
      <c r="H441" s="4" t="n">
        <v>320</v>
      </c>
      <c r="I441" s="4" t="n">
        <v>1</v>
      </c>
      <c r="J441" s="4" t="n">
        <v>1</v>
      </c>
      <c r="K441" s="5" t="n">
        <v>0.56</v>
      </c>
      <c r="L441" s="4" t="n">
        <v>0</v>
      </c>
      <c r="M441" s="6" t="n">
        <f aca="false">$R$2 + SUMPRODUCT(B441:K441,$S$2:$AB$2)</f>
        <v>-1.29745841</v>
      </c>
      <c r="N441" s="6" t="n">
        <f aca="false">1/(1+EXP(-M441))</f>
        <v>0.214593073134338</v>
      </c>
      <c r="O441" s="6" t="n">
        <f aca="false">IF(L441=1,N441,1-N441)</f>
        <v>0.785406926865662</v>
      </c>
      <c r="P441" s="6" t="n">
        <f aca="false">LN(O441)</f>
        <v>-0.241553317338462</v>
      </c>
      <c r="AD441" s="8" t="n">
        <f aca="false">B441</f>
        <v>68</v>
      </c>
      <c r="AE441" s="8" t="n">
        <f aca="false">C441</f>
        <v>75900</v>
      </c>
      <c r="AF441" s="8" t="n">
        <f aca="false">D441</f>
        <v>3</v>
      </c>
      <c r="AG441" s="9" t="n">
        <f aca="false">E441*0.85</f>
        <v>21.0035</v>
      </c>
      <c r="AH441" s="9" t="n">
        <f aca="false">F441*0.9</f>
        <v>5.4</v>
      </c>
      <c r="AI441" s="9" t="n">
        <f aca="false">G441</f>
        <v>0.08</v>
      </c>
      <c r="AJ441" s="9" t="n">
        <f aca="false">H441*1.2</f>
        <v>384</v>
      </c>
      <c r="AK441" s="8" t="n">
        <f aca="false">I441</f>
        <v>1</v>
      </c>
      <c r="AL441" s="8" t="n">
        <f aca="false">J441</f>
        <v>1</v>
      </c>
      <c r="AM441" s="9" t="n">
        <f aca="false">K441</f>
        <v>0.56</v>
      </c>
      <c r="AN441" s="6" t="n">
        <f aca="false">$R$2 + SUMPRODUCT(AD441:AM441,$S$2:$AB$2)</f>
        <v>-1.7853976245</v>
      </c>
      <c r="AO441" s="6" t="n">
        <f aca="false">1/(1+EXP(-AN441))</f>
        <v>0.143637915602981</v>
      </c>
    </row>
    <row r="442" customFormat="false" ht="15" hidden="false" customHeight="false" outlineLevel="0" collapsed="false">
      <c r="A442" s="3" t="s">
        <v>506</v>
      </c>
      <c r="B442" s="4" t="n">
        <v>40</v>
      </c>
      <c r="C442" s="4" t="n">
        <v>35500</v>
      </c>
      <c r="D442" s="4" t="n">
        <v>7</v>
      </c>
      <c r="E442" s="5" t="n">
        <v>58.43</v>
      </c>
      <c r="F442" s="4" t="n">
        <v>2</v>
      </c>
      <c r="G442" s="5" t="n">
        <v>0.46</v>
      </c>
      <c r="H442" s="4" t="n">
        <v>71</v>
      </c>
      <c r="I442" s="4" t="n">
        <v>1</v>
      </c>
      <c r="J442" s="4" t="n">
        <v>1</v>
      </c>
      <c r="K442" s="5" t="n">
        <v>0.11</v>
      </c>
      <c r="L442" s="4" t="n">
        <v>1</v>
      </c>
      <c r="M442" s="6" t="n">
        <f aca="false">$R$2 + SUMPRODUCT(B442:K442,$S$2:$AB$2)</f>
        <v>0.38942048</v>
      </c>
      <c r="N442" s="6" t="n">
        <f aca="false">1/(1+EXP(-M442))</f>
        <v>0.59614318387402</v>
      </c>
      <c r="O442" s="6" t="n">
        <f aca="false">IF(L442=1,N442,1-N442)</f>
        <v>0.59614318387402</v>
      </c>
      <c r="P442" s="6" t="n">
        <f aca="false">LN(O442)</f>
        <v>-0.517274399370768</v>
      </c>
      <c r="AD442" s="8" t="n">
        <f aca="false">B442</f>
        <v>40</v>
      </c>
      <c r="AE442" s="8" t="n">
        <f aca="false">C442</f>
        <v>35500</v>
      </c>
      <c r="AF442" s="8" t="n">
        <f aca="false">D442</f>
        <v>7</v>
      </c>
      <c r="AG442" s="9" t="n">
        <f aca="false">E442*0.85</f>
        <v>49.6655</v>
      </c>
      <c r="AH442" s="9" t="n">
        <f aca="false">F442*0.9</f>
        <v>1.8</v>
      </c>
      <c r="AI442" s="9" t="n">
        <f aca="false">G442</f>
        <v>0.46</v>
      </c>
      <c r="AJ442" s="9" t="n">
        <f aca="false">H442*1.2</f>
        <v>85.2</v>
      </c>
      <c r="AK442" s="8" t="n">
        <f aca="false">I442</f>
        <v>1</v>
      </c>
      <c r="AL442" s="8" t="n">
        <f aca="false">J442</f>
        <v>1</v>
      </c>
      <c r="AM442" s="9" t="n">
        <f aca="false">K442</f>
        <v>0.11</v>
      </c>
      <c r="AN442" s="6" t="n">
        <f aca="false">$R$2 + SUMPRODUCT(AD442:AM442,$S$2:$AB$2)</f>
        <v>0.1667107515</v>
      </c>
      <c r="AO442" s="6" t="n">
        <f aca="false">1/(1+EXP(-AN442))</f>
        <v>0.541581428221849</v>
      </c>
    </row>
    <row r="443" customFormat="false" ht="15" hidden="false" customHeight="false" outlineLevel="0" collapsed="false">
      <c r="A443" s="3" t="s">
        <v>507</v>
      </c>
      <c r="B443" s="4" t="n">
        <v>32</v>
      </c>
      <c r="C443" s="4" t="n">
        <v>66100</v>
      </c>
      <c r="D443" s="4" t="n">
        <v>9</v>
      </c>
      <c r="E443" s="5" t="n">
        <v>56.59</v>
      </c>
      <c r="F443" s="4" t="n">
        <v>7</v>
      </c>
      <c r="G443" s="5" t="n">
        <v>0.43</v>
      </c>
      <c r="H443" s="4" t="n">
        <v>210</v>
      </c>
      <c r="I443" s="4" t="n">
        <v>0</v>
      </c>
      <c r="J443" s="4" t="n">
        <v>0</v>
      </c>
      <c r="K443" s="5" t="n">
        <v>0.61</v>
      </c>
      <c r="L443" s="4" t="n">
        <v>1</v>
      </c>
      <c r="M443" s="6" t="n">
        <f aca="false">$R$2 + SUMPRODUCT(B443:K443,$S$2:$AB$2)</f>
        <v>0.484360130000001</v>
      </c>
      <c r="N443" s="6" t="n">
        <f aca="false">1/(1+EXP(-M443))</f>
        <v>0.618776926035384</v>
      </c>
      <c r="O443" s="6" t="n">
        <f aca="false">IF(L443=1,N443,1-N443)</f>
        <v>0.618776926035384</v>
      </c>
      <c r="P443" s="6" t="n">
        <f aca="false">LN(O443)</f>
        <v>-0.480010449221204</v>
      </c>
      <c r="AD443" s="8" t="n">
        <f aca="false">B443</f>
        <v>32</v>
      </c>
      <c r="AE443" s="8" t="n">
        <f aca="false">C443</f>
        <v>66100</v>
      </c>
      <c r="AF443" s="8" t="n">
        <f aca="false">D443</f>
        <v>9</v>
      </c>
      <c r="AG443" s="9" t="n">
        <f aca="false">E443*0.85</f>
        <v>48.1015</v>
      </c>
      <c r="AH443" s="9" t="n">
        <f aca="false">F443*0.9</f>
        <v>6.3</v>
      </c>
      <c r="AI443" s="9" t="n">
        <f aca="false">G443</f>
        <v>0.43</v>
      </c>
      <c r="AJ443" s="9" t="n">
        <f aca="false">H443*1.2</f>
        <v>252</v>
      </c>
      <c r="AK443" s="8" t="n">
        <f aca="false">I443</f>
        <v>0</v>
      </c>
      <c r="AL443" s="8" t="n">
        <f aca="false">J443</f>
        <v>0</v>
      </c>
      <c r="AM443" s="9" t="n">
        <f aca="false">K443</f>
        <v>0.61</v>
      </c>
      <c r="AN443" s="6" t="n">
        <f aca="false">$R$2 + SUMPRODUCT(AD443:AM443,$S$2:$AB$2)</f>
        <v>0.0472540095000005</v>
      </c>
      <c r="AO443" s="6" t="n">
        <f aca="false">1/(1+EXP(-AN443))</f>
        <v>0.511811304627518</v>
      </c>
    </row>
    <row r="444" customFormat="false" ht="15" hidden="false" customHeight="false" outlineLevel="0" collapsed="false">
      <c r="A444" s="3" t="s">
        <v>508</v>
      </c>
      <c r="B444" s="4" t="n">
        <v>45</v>
      </c>
      <c r="C444" s="4" t="n">
        <v>65700</v>
      </c>
      <c r="D444" s="4" t="n">
        <v>9</v>
      </c>
      <c r="E444" s="5" t="n">
        <v>89.01</v>
      </c>
      <c r="F444" s="4" t="n">
        <v>2</v>
      </c>
      <c r="G444" s="5" t="n">
        <v>0.67</v>
      </c>
      <c r="H444" s="4" t="n">
        <v>184</v>
      </c>
      <c r="I444" s="4" t="n">
        <v>0</v>
      </c>
      <c r="J444" s="4" t="n">
        <v>1</v>
      </c>
      <c r="K444" s="5" t="n">
        <v>0.59</v>
      </c>
      <c r="L444" s="4" t="n">
        <v>1</v>
      </c>
      <c r="M444" s="6" t="n">
        <f aca="false">$R$2 + SUMPRODUCT(B444:K444,$S$2:$AB$2)</f>
        <v>1.33321237</v>
      </c>
      <c r="N444" s="6" t="n">
        <f aca="false">1/(1+EXP(-M444))</f>
        <v>0.791371502011229</v>
      </c>
      <c r="O444" s="6" t="n">
        <f aca="false">IF(L444=1,N444,1-N444)</f>
        <v>0.791371502011229</v>
      </c>
      <c r="P444" s="6" t="n">
        <f aca="false">LN(O444)</f>
        <v>-0.23398776026822</v>
      </c>
      <c r="AD444" s="8" t="n">
        <f aca="false">B444</f>
        <v>45</v>
      </c>
      <c r="AE444" s="8" t="n">
        <f aca="false">C444</f>
        <v>65700</v>
      </c>
      <c r="AF444" s="8" t="n">
        <f aca="false">D444</f>
        <v>9</v>
      </c>
      <c r="AG444" s="9" t="n">
        <f aca="false">E444*0.85</f>
        <v>75.6585</v>
      </c>
      <c r="AH444" s="9" t="n">
        <f aca="false">F444*0.9</f>
        <v>1.8</v>
      </c>
      <c r="AI444" s="9" t="n">
        <f aca="false">G444</f>
        <v>0.67</v>
      </c>
      <c r="AJ444" s="9" t="n">
        <f aca="false">H444*1.2</f>
        <v>220.8</v>
      </c>
      <c r="AK444" s="8" t="n">
        <f aca="false">I444</f>
        <v>0</v>
      </c>
      <c r="AL444" s="8" t="n">
        <f aca="false">J444</f>
        <v>1</v>
      </c>
      <c r="AM444" s="9" t="n">
        <f aca="false">K444</f>
        <v>0.59</v>
      </c>
      <c r="AN444" s="6" t="n">
        <f aca="false">$R$2 + SUMPRODUCT(AD444:AM444,$S$2:$AB$2)</f>
        <v>0.9187546705</v>
      </c>
      <c r="AO444" s="6" t="n">
        <f aca="false">1/(1+EXP(-AN444))</f>
        <v>0.714788293293864</v>
      </c>
    </row>
    <row r="445" customFormat="false" ht="15" hidden="false" customHeight="false" outlineLevel="0" collapsed="false">
      <c r="A445" s="3" t="s">
        <v>509</v>
      </c>
      <c r="B445" s="4" t="n">
        <v>51</v>
      </c>
      <c r="C445" s="4" t="n">
        <v>49400</v>
      </c>
      <c r="D445" s="4" t="n">
        <v>7</v>
      </c>
      <c r="E445" s="5" t="n">
        <v>76.56</v>
      </c>
      <c r="F445" s="4" t="n">
        <v>3</v>
      </c>
      <c r="G445" s="5" t="n">
        <v>0.5</v>
      </c>
      <c r="H445" s="4" t="n">
        <v>356</v>
      </c>
      <c r="I445" s="4" t="n">
        <v>1</v>
      </c>
      <c r="J445" s="4" t="n">
        <v>0</v>
      </c>
      <c r="K445" s="5" t="n">
        <v>0.46</v>
      </c>
      <c r="L445" s="4" t="n">
        <v>1</v>
      </c>
      <c r="M445" s="6" t="n">
        <f aca="false">$R$2 + SUMPRODUCT(B445:K445,$S$2:$AB$2)</f>
        <v>-0.863720839999999</v>
      </c>
      <c r="N445" s="6" t="n">
        <f aca="false">1/(1+EXP(-M445))</f>
        <v>0.296562542201782</v>
      </c>
      <c r="O445" s="6" t="n">
        <f aca="false">IF(L445=1,N445,1-N445)</f>
        <v>0.296562542201782</v>
      </c>
      <c r="P445" s="6" t="n">
        <f aca="false">LN(O445)</f>
        <v>-1.21549714787474</v>
      </c>
      <c r="AD445" s="8" t="n">
        <f aca="false">B445</f>
        <v>51</v>
      </c>
      <c r="AE445" s="8" t="n">
        <f aca="false">C445</f>
        <v>49400</v>
      </c>
      <c r="AF445" s="8" t="n">
        <f aca="false">D445</f>
        <v>7</v>
      </c>
      <c r="AG445" s="9" t="n">
        <f aca="false">E445*0.85</f>
        <v>65.076</v>
      </c>
      <c r="AH445" s="9" t="n">
        <f aca="false">F445*0.9</f>
        <v>2.7</v>
      </c>
      <c r="AI445" s="9" t="n">
        <f aca="false">G445</f>
        <v>0.5</v>
      </c>
      <c r="AJ445" s="9" t="n">
        <f aca="false">H445*1.2</f>
        <v>427.2</v>
      </c>
      <c r="AK445" s="8" t="n">
        <f aca="false">I445</f>
        <v>1</v>
      </c>
      <c r="AL445" s="8" t="n">
        <f aca="false">J445</f>
        <v>0</v>
      </c>
      <c r="AM445" s="9" t="n">
        <f aca="false">K445</f>
        <v>0.46</v>
      </c>
      <c r="AN445" s="6" t="n">
        <f aca="false">$R$2 + SUMPRODUCT(AD445:AM445,$S$2:$AB$2)</f>
        <v>-1.462773912</v>
      </c>
      <c r="AO445" s="6" t="n">
        <f aca="false">1/(1+EXP(-AN445))</f>
        <v>0.188043429193867</v>
      </c>
    </row>
    <row r="446" customFormat="false" ht="15" hidden="false" customHeight="false" outlineLevel="0" collapsed="false">
      <c r="A446" s="3" t="s">
        <v>510</v>
      </c>
      <c r="B446" s="4" t="n">
        <v>19</v>
      </c>
      <c r="C446" s="4" t="n">
        <v>60900</v>
      </c>
      <c r="D446" s="4" t="n">
        <v>7</v>
      </c>
      <c r="E446" s="5" t="n">
        <v>35.52</v>
      </c>
      <c r="F446" s="4" t="n">
        <v>7</v>
      </c>
      <c r="G446" s="5" t="n">
        <v>0.81</v>
      </c>
      <c r="H446" s="4" t="n">
        <v>41</v>
      </c>
      <c r="I446" s="4" t="n">
        <v>1</v>
      </c>
      <c r="J446" s="4" t="n">
        <v>0</v>
      </c>
      <c r="K446" s="5" t="n">
        <v>0.1</v>
      </c>
      <c r="L446" s="4" t="n">
        <v>1</v>
      </c>
      <c r="M446" s="6" t="n">
        <f aca="false">$R$2 + SUMPRODUCT(B446:K446,$S$2:$AB$2)</f>
        <v>1.59819097</v>
      </c>
      <c r="N446" s="6" t="n">
        <f aca="false">1/(1+EXP(-M446))</f>
        <v>0.831765396357441</v>
      </c>
      <c r="O446" s="6" t="n">
        <f aca="false">IF(L446=1,N446,1-N446)</f>
        <v>0.831765396357441</v>
      </c>
      <c r="P446" s="6" t="n">
        <f aca="false">LN(O446)</f>
        <v>-0.184204853455426</v>
      </c>
      <c r="AD446" s="8" t="n">
        <f aca="false">B446</f>
        <v>19</v>
      </c>
      <c r="AE446" s="8" t="n">
        <f aca="false">C446</f>
        <v>60900</v>
      </c>
      <c r="AF446" s="8" t="n">
        <f aca="false">D446</f>
        <v>7</v>
      </c>
      <c r="AG446" s="9" t="n">
        <f aca="false">E446*0.85</f>
        <v>30.192</v>
      </c>
      <c r="AH446" s="9" t="n">
        <f aca="false">F446*0.9</f>
        <v>6.3</v>
      </c>
      <c r="AI446" s="9" t="n">
        <f aca="false">G446</f>
        <v>0.81</v>
      </c>
      <c r="AJ446" s="9" t="n">
        <f aca="false">H446*1.2</f>
        <v>49.2</v>
      </c>
      <c r="AK446" s="8" t="n">
        <f aca="false">I446</f>
        <v>1</v>
      </c>
      <c r="AL446" s="8" t="n">
        <f aca="false">J446</f>
        <v>0</v>
      </c>
      <c r="AM446" s="9" t="n">
        <f aca="false">K446</f>
        <v>0.1</v>
      </c>
      <c r="AN446" s="6" t="n">
        <f aca="false">$R$2 + SUMPRODUCT(AD446:AM446,$S$2:$AB$2)</f>
        <v>1.398160246</v>
      </c>
      <c r="AO446" s="6" t="n">
        <f aca="false">1/(1+EXP(-AN446))</f>
        <v>0.801891785072879</v>
      </c>
    </row>
    <row r="447" customFormat="false" ht="15" hidden="false" customHeight="false" outlineLevel="0" collapsed="false">
      <c r="A447" s="3" t="s">
        <v>511</v>
      </c>
      <c r="B447" s="4" t="n">
        <v>49</v>
      </c>
      <c r="C447" s="4" t="n">
        <v>32500</v>
      </c>
      <c r="D447" s="4" t="n">
        <v>7</v>
      </c>
      <c r="E447" s="5" t="n">
        <v>69.31</v>
      </c>
      <c r="F447" s="4" t="n">
        <v>2</v>
      </c>
      <c r="G447" s="5" t="n">
        <v>0.2</v>
      </c>
      <c r="H447" s="4" t="n">
        <v>260</v>
      </c>
      <c r="I447" s="4" t="n">
        <v>0</v>
      </c>
      <c r="J447" s="4" t="n">
        <v>1</v>
      </c>
      <c r="K447" s="5" t="n">
        <v>0.32</v>
      </c>
      <c r="L447" s="4" t="n">
        <v>0</v>
      </c>
      <c r="M447" s="6" t="n">
        <f aca="false">$R$2 + SUMPRODUCT(B447:K447,$S$2:$AB$2)</f>
        <v>-1.64066001</v>
      </c>
      <c r="N447" s="6" t="n">
        <f aca="false">1/(1+EXP(-M447))</f>
        <v>0.162375274916255</v>
      </c>
      <c r="O447" s="6" t="n">
        <f aca="false">IF(L447=1,N447,1-N447)</f>
        <v>0.837624725083745</v>
      </c>
      <c r="P447" s="6" t="n">
        <f aca="false">LN(O447)</f>
        <v>-0.177185100898085</v>
      </c>
      <c r="AD447" s="8" t="n">
        <f aca="false">B447</f>
        <v>49</v>
      </c>
      <c r="AE447" s="8" t="n">
        <f aca="false">C447</f>
        <v>32500</v>
      </c>
      <c r="AF447" s="8" t="n">
        <f aca="false">D447</f>
        <v>7</v>
      </c>
      <c r="AG447" s="9" t="n">
        <f aca="false">E447*0.85</f>
        <v>58.9135</v>
      </c>
      <c r="AH447" s="9" t="n">
        <f aca="false">F447*0.9</f>
        <v>1.8</v>
      </c>
      <c r="AI447" s="9" t="n">
        <f aca="false">G447</f>
        <v>0.2</v>
      </c>
      <c r="AJ447" s="9" t="n">
        <f aca="false">H447*1.2</f>
        <v>312</v>
      </c>
      <c r="AK447" s="8" t="n">
        <f aca="false">I447</f>
        <v>0</v>
      </c>
      <c r="AL447" s="8" t="n">
        <f aca="false">J447</f>
        <v>1</v>
      </c>
      <c r="AM447" s="9" t="n">
        <f aca="false">K447</f>
        <v>0.32</v>
      </c>
      <c r="AN447" s="6" t="n">
        <f aca="false">$R$2 + SUMPRODUCT(AD447:AM447,$S$2:$AB$2)</f>
        <v>-2.1029447945</v>
      </c>
      <c r="AO447" s="6" t="n">
        <f aca="false">1/(1+EXP(-AN447))</f>
        <v>0.108810932065505</v>
      </c>
    </row>
    <row r="448" customFormat="false" ht="15" hidden="false" customHeight="false" outlineLevel="0" collapsed="false">
      <c r="A448" s="3" t="s">
        <v>512</v>
      </c>
      <c r="B448" s="4" t="n">
        <v>40</v>
      </c>
      <c r="C448" s="4" t="n">
        <v>71600</v>
      </c>
      <c r="D448" s="4" t="n">
        <v>9</v>
      </c>
      <c r="E448" s="5" t="n">
        <v>81.79</v>
      </c>
      <c r="F448" s="4" t="n">
        <v>3</v>
      </c>
      <c r="G448" s="5" t="n">
        <v>0.44</v>
      </c>
      <c r="H448" s="4" t="n">
        <v>344</v>
      </c>
      <c r="I448" s="4" t="n">
        <v>0</v>
      </c>
      <c r="J448" s="4" t="n">
        <v>0</v>
      </c>
      <c r="K448" s="5" t="n">
        <v>0.14</v>
      </c>
      <c r="L448" s="4" t="n">
        <v>0</v>
      </c>
      <c r="M448" s="6" t="n">
        <f aca="false">$R$2 + SUMPRODUCT(B448:K448,$S$2:$AB$2)</f>
        <v>-0.89781307</v>
      </c>
      <c r="N448" s="6" t="n">
        <f aca="false">1/(1+EXP(-M448))</f>
        <v>0.289500119407873</v>
      </c>
      <c r="O448" s="6" t="n">
        <f aca="false">IF(L448=1,N448,1-N448)</f>
        <v>0.710499880592127</v>
      </c>
      <c r="P448" s="6" t="n">
        <f aca="false">LN(O448)</f>
        <v>-0.341786499506745</v>
      </c>
      <c r="AD448" s="8" t="n">
        <f aca="false">B448</f>
        <v>40</v>
      </c>
      <c r="AE448" s="8" t="n">
        <f aca="false">C448</f>
        <v>71600</v>
      </c>
      <c r="AF448" s="8" t="n">
        <f aca="false">D448</f>
        <v>9</v>
      </c>
      <c r="AG448" s="9" t="n">
        <f aca="false">E448*0.85</f>
        <v>69.5215</v>
      </c>
      <c r="AH448" s="9" t="n">
        <f aca="false">F448*0.9</f>
        <v>2.7</v>
      </c>
      <c r="AI448" s="9" t="n">
        <f aca="false">G448</f>
        <v>0.44</v>
      </c>
      <c r="AJ448" s="9" t="n">
        <f aca="false">H448*1.2</f>
        <v>412.8</v>
      </c>
      <c r="AK448" s="8" t="n">
        <f aca="false">I448</f>
        <v>0</v>
      </c>
      <c r="AL448" s="8" t="n">
        <f aca="false">J448</f>
        <v>0</v>
      </c>
      <c r="AM448" s="9" t="n">
        <f aca="false">K448</f>
        <v>0.14</v>
      </c>
      <c r="AN448" s="6" t="n">
        <f aca="false">$R$2 + SUMPRODUCT(AD448:AM448,$S$2:$AB$2)</f>
        <v>-1.4935851305</v>
      </c>
      <c r="AO448" s="6" t="n">
        <f aca="false">1/(1+EXP(-AN448))</f>
        <v>0.183384228617487</v>
      </c>
    </row>
    <row r="449" customFormat="false" ht="15" hidden="false" customHeight="false" outlineLevel="0" collapsed="false">
      <c r="A449" s="3" t="s">
        <v>513</v>
      </c>
      <c r="B449" s="4" t="n">
        <v>39</v>
      </c>
      <c r="C449" s="4" t="n">
        <v>51700</v>
      </c>
      <c r="D449" s="4" t="n">
        <v>6</v>
      </c>
      <c r="E449" s="5" t="n">
        <v>103.2</v>
      </c>
      <c r="F449" s="4" t="n">
        <v>2</v>
      </c>
      <c r="G449" s="5" t="n">
        <v>0.38</v>
      </c>
      <c r="H449" s="4" t="n">
        <v>84</v>
      </c>
      <c r="I449" s="4" t="n">
        <v>0</v>
      </c>
      <c r="J449" s="4" t="n">
        <v>1</v>
      </c>
      <c r="K449" s="5" t="n">
        <v>0.51</v>
      </c>
      <c r="L449" s="4" t="n">
        <v>1</v>
      </c>
      <c r="M449" s="6" t="n">
        <f aca="false">$R$2 + SUMPRODUCT(B449:K449,$S$2:$AB$2)</f>
        <v>0.709688410000001</v>
      </c>
      <c r="N449" s="6" t="n">
        <f aca="false">1/(1+EXP(-M449))</f>
        <v>0.670332306153875</v>
      </c>
      <c r="O449" s="6" t="n">
        <f aca="false">IF(L449=1,N449,1-N449)</f>
        <v>0.670332306153875</v>
      </c>
      <c r="P449" s="6" t="n">
        <f aca="false">LN(O449)</f>
        <v>-0.399981710220079</v>
      </c>
      <c r="AD449" s="8" t="n">
        <f aca="false">B449</f>
        <v>39</v>
      </c>
      <c r="AE449" s="8" t="n">
        <f aca="false">C449</f>
        <v>51700</v>
      </c>
      <c r="AF449" s="8" t="n">
        <f aca="false">D449</f>
        <v>6</v>
      </c>
      <c r="AG449" s="9" t="n">
        <f aca="false">E449*0.85</f>
        <v>87.72</v>
      </c>
      <c r="AH449" s="9" t="n">
        <f aca="false">F449*0.9</f>
        <v>1.8</v>
      </c>
      <c r="AI449" s="9" t="n">
        <f aca="false">G449</f>
        <v>0.38</v>
      </c>
      <c r="AJ449" s="9" t="n">
        <f aca="false">H449*1.2</f>
        <v>100.8</v>
      </c>
      <c r="AK449" s="8" t="n">
        <f aca="false">I449</f>
        <v>0</v>
      </c>
      <c r="AL449" s="8" t="n">
        <f aca="false">J449</f>
        <v>1</v>
      </c>
      <c r="AM449" s="9" t="n">
        <f aca="false">K449</f>
        <v>0.51</v>
      </c>
      <c r="AN449" s="6" t="n">
        <f aca="false">$R$2 + SUMPRODUCT(AD449:AM449,$S$2:$AB$2)</f>
        <v>0.381798570000001</v>
      </c>
      <c r="AO449" s="6" t="n">
        <f aca="false">1/(1+EXP(-AN449))</f>
        <v>0.594306822803483</v>
      </c>
    </row>
    <row r="450" customFormat="false" ht="15" hidden="false" customHeight="false" outlineLevel="0" collapsed="false">
      <c r="A450" s="3" t="s">
        <v>514</v>
      </c>
      <c r="B450" s="4" t="n">
        <v>68</v>
      </c>
      <c r="C450" s="4" t="n">
        <v>45600</v>
      </c>
      <c r="D450" s="4" t="n">
        <v>3</v>
      </c>
      <c r="E450" s="5" t="n">
        <v>87.19</v>
      </c>
      <c r="F450" s="4" t="n">
        <v>5</v>
      </c>
      <c r="G450" s="5" t="n">
        <v>0.23</v>
      </c>
      <c r="H450" s="4" t="n">
        <v>46</v>
      </c>
      <c r="I450" s="4" t="n">
        <v>1</v>
      </c>
      <c r="J450" s="4" t="n">
        <v>0</v>
      </c>
      <c r="K450" s="5" t="n">
        <v>0.13</v>
      </c>
      <c r="L450" s="4" t="n">
        <v>1</v>
      </c>
      <c r="M450" s="6" t="n">
        <f aca="false">$R$2 + SUMPRODUCT(B450:K450,$S$2:$AB$2)</f>
        <v>-0.56526111</v>
      </c>
      <c r="N450" s="6" t="n">
        <f aca="false">1/(1+EXP(-M450))</f>
        <v>0.362331016462016</v>
      </c>
      <c r="O450" s="6" t="n">
        <f aca="false">IF(L450=1,N450,1-N450)</f>
        <v>0.362331016462016</v>
      </c>
      <c r="P450" s="6" t="n">
        <f aca="false">LN(O450)</f>
        <v>-1.01519707485854</v>
      </c>
      <c r="AD450" s="8" t="n">
        <f aca="false">B450</f>
        <v>68</v>
      </c>
      <c r="AE450" s="8" t="n">
        <f aca="false">C450</f>
        <v>45600</v>
      </c>
      <c r="AF450" s="8" t="n">
        <f aca="false">D450</f>
        <v>3</v>
      </c>
      <c r="AG450" s="9" t="n">
        <f aca="false">E450*0.85</f>
        <v>74.1115</v>
      </c>
      <c r="AH450" s="9" t="n">
        <f aca="false">F450*0.9</f>
        <v>4.5</v>
      </c>
      <c r="AI450" s="9" t="n">
        <f aca="false">G450</f>
        <v>0.23</v>
      </c>
      <c r="AJ450" s="9" t="n">
        <f aca="false">H450*1.2</f>
        <v>55.2</v>
      </c>
      <c r="AK450" s="8" t="n">
        <f aca="false">I450</f>
        <v>1</v>
      </c>
      <c r="AL450" s="8" t="n">
        <f aca="false">J450</f>
        <v>0</v>
      </c>
      <c r="AM450" s="9" t="n">
        <f aca="false">K450</f>
        <v>0.13</v>
      </c>
      <c r="AN450" s="6" t="n">
        <f aca="false">$R$2 + SUMPRODUCT(AD450:AM450,$S$2:$AB$2)</f>
        <v>-0.8519497005</v>
      </c>
      <c r="AO450" s="6" t="n">
        <f aca="false">1/(1+EXP(-AN450))</f>
        <v>0.299024023353755</v>
      </c>
    </row>
    <row r="451" customFormat="false" ht="15" hidden="false" customHeight="false" outlineLevel="0" collapsed="false">
      <c r="A451" s="3" t="s">
        <v>515</v>
      </c>
      <c r="B451" s="4" t="n">
        <v>42</v>
      </c>
      <c r="C451" s="4" t="n">
        <v>73900</v>
      </c>
      <c r="D451" s="4" t="n">
        <v>7</v>
      </c>
      <c r="E451" s="5" t="n">
        <v>84.02</v>
      </c>
      <c r="F451" s="4" t="n">
        <v>1</v>
      </c>
      <c r="G451" s="5" t="n">
        <v>0.23</v>
      </c>
      <c r="H451" s="4" t="n">
        <v>159</v>
      </c>
      <c r="I451" s="4" t="n">
        <v>0</v>
      </c>
      <c r="J451" s="4" t="n">
        <v>1</v>
      </c>
      <c r="K451" s="5" t="n">
        <v>0.37</v>
      </c>
      <c r="L451" s="4" t="n">
        <v>0</v>
      </c>
      <c r="M451" s="6" t="n">
        <f aca="false">$R$2 + SUMPRODUCT(B451:K451,$S$2:$AB$2)</f>
        <v>0.1618772</v>
      </c>
      <c r="N451" s="6" t="n">
        <f aca="false">1/(1+EXP(-M451))</f>
        <v>0.540381158730244</v>
      </c>
      <c r="O451" s="6" t="n">
        <f aca="false">IF(L451=1,N451,1-N451)</f>
        <v>0.459618841269756</v>
      </c>
      <c r="P451" s="6" t="n">
        <f aca="false">LN(O451)</f>
        <v>-0.777357738917962</v>
      </c>
      <c r="AD451" s="8" t="n">
        <f aca="false">B451</f>
        <v>42</v>
      </c>
      <c r="AE451" s="8" t="n">
        <f aca="false">C451</f>
        <v>73900</v>
      </c>
      <c r="AF451" s="8" t="n">
        <f aca="false">D451</f>
        <v>7</v>
      </c>
      <c r="AG451" s="9" t="n">
        <f aca="false">E451*0.85</f>
        <v>71.417</v>
      </c>
      <c r="AH451" s="9" t="n">
        <f aca="false">F451*0.9</f>
        <v>0.9</v>
      </c>
      <c r="AI451" s="9" t="n">
        <f aca="false">G451</f>
        <v>0.23</v>
      </c>
      <c r="AJ451" s="9" t="n">
        <f aca="false">H451*1.2</f>
        <v>190.8</v>
      </c>
      <c r="AK451" s="8" t="n">
        <f aca="false">I451</f>
        <v>0</v>
      </c>
      <c r="AL451" s="8" t="n">
        <f aca="false">J451</f>
        <v>1</v>
      </c>
      <c r="AM451" s="9" t="n">
        <f aca="false">K451</f>
        <v>0.37</v>
      </c>
      <c r="AN451" s="6" t="n">
        <f aca="false">$R$2 + SUMPRODUCT(AD451:AM451,$S$2:$AB$2)</f>
        <v>-0.202129599</v>
      </c>
      <c r="AO451" s="6" t="n">
        <f aca="false">1/(1+EXP(-AN451))</f>
        <v>0.44963894777544</v>
      </c>
    </row>
    <row r="452" customFormat="false" ht="15" hidden="false" customHeight="false" outlineLevel="0" collapsed="false">
      <c r="A452" s="3" t="s">
        <v>516</v>
      </c>
      <c r="B452" s="4" t="n">
        <v>39</v>
      </c>
      <c r="C452" s="4" t="n">
        <v>42300</v>
      </c>
      <c r="D452" s="4" t="n">
        <v>2</v>
      </c>
      <c r="E452" s="5" t="n">
        <v>66.5</v>
      </c>
      <c r="F452" s="4" t="n">
        <v>4</v>
      </c>
      <c r="G452" s="5" t="n">
        <v>0.18</v>
      </c>
      <c r="H452" s="4" t="n">
        <v>344</v>
      </c>
      <c r="I452" s="4" t="n">
        <v>0</v>
      </c>
      <c r="J452" s="4" t="n">
        <v>0</v>
      </c>
      <c r="K452" s="5" t="n">
        <v>0.27</v>
      </c>
      <c r="L452" s="4" t="n">
        <v>0</v>
      </c>
      <c r="M452" s="6" t="n">
        <f aca="false">$R$2 + SUMPRODUCT(B452:K452,$S$2:$AB$2)</f>
        <v>-3.25380281</v>
      </c>
      <c r="N452" s="6" t="n">
        <f aca="false">1/(1+EXP(-M452))</f>
        <v>0.0371904788949196</v>
      </c>
      <c r="O452" s="6" t="n">
        <f aca="false">IF(L452=1,N452,1-N452)</f>
        <v>0.96280952110508</v>
      </c>
      <c r="P452" s="6" t="n">
        <f aca="false">LN(O452)</f>
        <v>-0.0378996841471673</v>
      </c>
      <c r="AD452" s="8" t="n">
        <f aca="false">B452</f>
        <v>39</v>
      </c>
      <c r="AE452" s="8" t="n">
        <f aca="false">C452</f>
        <v>42300</v>
      </c>
      <c r="AF452" s="8" t="n">
        <f aca="false">D452</f>
        <v>2</v>
      </c>
      <c r="AG452" s="9" t="n">
        <f aca="false">E452*0.85</f>
        <v>56.525</v>
      </c>
      <c r="AH452" s="9" t="n">
        <f aca="false">F452*0.9</f>
        <v>3.6</v>
      </c>
      <c r="AI452" s="9" t="n">
        <f aca="false">G452</f>
        <v>0.18</v>
      </c>
      <c r="AJ452" s="9" t="n">
        <f aca="false">H452*1.2</f>
        <v>412.8</v>
      </c>
      <c r="AK452" s="8" t="n">
        <f aca="false">I452</f>
        <v>0</v>
      </c>
      <c r="AL452" s="8" t="n">
        <f aca="false">J452</f>
        <v>0</v>
      </c>
      <c r="AM452" s="9" t="n">
        <f aca="false">K452</f>
        <v>0.27</v>
      </c>
      <c r="AN452" s="6" t="n">
        <f aca="false">$R$2 + SUMPRODUCT(AD452:AM452,$S$2:$AB$2)</f>
        <v>-3.830372585</v>
      </c>
      <c r="AO452" s="6" t="n">
        <f aca="false">1/(1+EXP(-AN452))</f>
        <v>0.0212405755055545</v>
      </c>
    </row>
    <row r="453" customFormat="false" ht="15" hidden="false" customHeight="false" outlineLevel="0" collapsed="false">
      <c r="A453" s="3" t="s">
        <v>517</v>
      </c>
      <c r="B453" s="4" t="n">
        <v>39</v>
      </c>
      <c r="C453" s="4" t="n">
        <v>29600</v>
      </c>
      <c r="D453" s="4" t="n">
        <v>3</v>
      </c>
      <c r="E453" s="5" t="n">
        <v>74.71</v>
      </c>
      <c r="F453" s="4" t="n">
        <v>2</v>
      </c>
      <c r="G453" s="5" t="n">
        <v>0.25</v>
      </c>
      <c r="H453" s="4" t="n">
        <v>7</v>
      </c>
      <c r="I453" s="4" t="n">
        <v>0</v>
      </c>
      <c r="J453" s="4" t="n">
        <v>0</v>
      </c>
      <c r="K453" s="5" t="n">
        <v>0.44</v>
      </c>
      <c r="L453" s="4" t="n">
        <v>0</v>
      </c>
      <c r="M453" s="6" t="n">
        <f aca="false">$R$2 + SUMPRODUCT(B453:K453,$S$2:$AB$2)</f>
        <v>-1.2289483</v>
      </c>
      <c r="N453" s="6" t="n">
        <f aca="false">1/(1+EXP(-M453))</f>
        <v>0.226365550834565</v>
      </c>
      <c r="O453" s="6" t="n">
        <f aca="false">IF(L453=1,N453,1-N453)</f>
        <v>0.773634449165435</v>
      </c>
      <c r="P453" s="6" t="n">
        <f aca="false">LN(O453)</f>
        <v>-0.256655804855424</v>
      </c>
      <c r="AD453" s="8" t="n">
        <f aca="false">B453</f>
        <v>39</v>
      </c>
      <c r="AE453" s="8" t="n">
        <f aca="false">C453</f>
        <v>29600</v>
      </c>
      <c r="AF453" s="8" t="n">
        <f aca="false">D453</f>
        <v>3</v>
      </c>
      <c r="AG453" s="9" t="n">
        <f aca="false">E453*0.85</f>
        <v>63.5035</v>
      </c>
      <c r="AH453" s="9" t="n">
        <f aca="false">F453*0.9</f>
        <v>1.8</v>
      </c>
      <c r="AI453" s="9" t="n">
        <f aca="false">G453</f>
        <v>0.25</v>
      </c>
      <c r="AJ453" s="9" t="n">
        <f aca="false">H453*1.2</f>
        <v>8.4</v>
      </c>
      <c r="AK453" s="8" t="n">
        <f aca="false">I453</f>
        <v>0</v>
      </c>
      <c r="AL453" s="8" t="n">
        <f aca="false">J453</f>
        <v>0</v>
      </c>
      <c r="AM453" s="9" t="n">
        <f aca="false">K453</f>
        <v>0.44</v>
      </c>
      <c r="AN453" s="6" t="n">
        <f aca="false">$R$2 + SUMPRODUCT(AD453:AM453,$S$2:$AB$2)</f>
        <v>-1.4107590145</v>
      </c>
      <c r="AO453" s="6" t="n">
        <f aca="false">1/(1+EXP(-AN453))</f>
        <v>0.19611436745542</v>
      </c>
    </row>
    <row r="454" customFormat="false" ht="15" hidden="false" customHeight="false" outlineLevel="0" collapsed="false">
      <c r="A454" s="3" t="s">
        <v>518</v>
      </c>
      <c r="B454" s="4" t="n">
        <v>66</v>
      </c>
      <c r="C454" s="4" t="n">
        <v>27000</v>
      </c>
      <c r="D454" s="4" t="n">
        <v>5</v>
      </c>
      <c r="E454" s="5" t="n">
        <v>96.24</v>
      </c>
      <c r="F454" s="4" t="n">
        <v>4</v>
      </c>
      <c r="G454" s="5" t="n">
        <v>0.22</v>
      </c>
      <c r="H454" s="4" t="n">
        <v>333</v>
      </c>
      <c r="I454" s="4" t="n">
        <v>1</v>
      </c>
      <c r="J454" s="4" t="n">
        <v>0</v>
      </c>
      <c r="K454" s="5" t="n">
        <v>0.22</v>
      </c>
      <c r="L454" s="4" t="n">
        <v>0</v>
      </c>
      <c r="M454" s="6" t="n">
        <f aca="false">$R$2 + SUMPRODUCT(B454:K454,$S$2:$AB$2)</f>
        <v>-2.1529692</v>
      </c>
      <c r="N454" s="6" t="n">
        <f aca="false">1/(1+EXP(-M454))</f>
        <v>0.104054088392492</v>
      </c>
      <c r="O454" s="6" t="n">
        <f aca="false">IF(L454=1,N454,1-N454)</f>
        <v>0.895945911607508</v>
      </c>
      <c r="P454" s="6" t="n">
        <f aca="false">LN(O454)</f>
        <v>-0.109875234338816</v>
      </c>
      <c r="AD454" s="8" t="n">
        <f aca="false">B454</f>
        <v>66</v>
      </c>
      <c r="AE454" s="8" t="n">
        <f aca="false">C454</f>
        <v>27000</v>
      </c>
      <c r="AF454" s="8" t="n">
        <f aca="false">D454</f>
        <v>5</v>
      </c>
      <c r="AG454" s="9" t="n">
        <f aca="false">E454*0.85</f>
        <v>81.804</v>
      </c>
      <c r="AH454" s="9" t="n">
        <f aca="false">F454*0.9</f>
        <v>3.6</v>
      </c>
      <c r="AI454" s="9" t="n">
        <f aca="false">G454</f>
        <v>0.22</v>
      </c>
      <c r="AJ454" s="9" t="n">
        <f aca="false">H454*1.2</f>
        <v>399.6</v>
      </c>
      <c r="AK454" s="8" t="n">
        <f aca="false">I454</f>
        <v>1</v>
      </c>
      <c r="AL454" s="8" t="n">
        <f aca="false">J454</f>
        <v>0</v>
      </c>
      <c r="AM454" s="9" t="n">
        <f aca="false">K454</f>
        <v>0.22</v>
      </c>
      <c r="AN454" s="6" t="n">
        <f aca="false">$R$2 + SUMPRODUCT(AD454:AM454,$S$2:$AB$2)</f>
        <v>-2.776795988</v>
      </c>
      <c r="AO454" s="6" t="n">
        <f aca="false">1/(1+EXP(-AN454))</f>
        <v>0.0585910330938033</v>
      </c>
    </row>
    <row r="455" customFormat="false" ht="15" hidden="false" customHeight="false" outlineLevel="0" collapsed="false">
      <c r="A455" s="3" t="s">
        <v>519</v>
      </c>
      <c r="B455" s="4" t="n">
        <v>69</v>
      </c>
      <c r="C455" s="4" t="n">
        <v>65900</v>
      </c>
      <c r="D455" s="4" t="n">
        <v>5</v>
      </c>
      <c r="E455" s="5" t="n">
        <v>31.68</v>
      </c>
      <c r="F455" s="4" t="n">
        <v>4</v>
      </c>
      <c r="G455" s="5" t="n">
        <v>0.42</v>
      </c>
      <c r="H455" s="4" t="n">
        <v>136</v>
      </c>
      <c r="I455" s="4" t="n">
        <v>0</v>
      </c>
      <c r="J455" s="4" t="n">
        <v>0</v>
      </c>
      <c r="K455" s="5" t="n">
        <v>0.46</v>
      </c>
      <c r="L455" s="4" t="n">
        <v>0</v>
      </c>
      <c r="M455" s="6" t="n">
        <f aca="false">$R$2 + SUMPRODUCT(B455:K455,$S$2:$AB$2)</f>
        <v>-1.14709556</v>
      </c>
      <c r="N455" s="6" t="n">
        <f aca="false">1/(1+EXP(-M455))</f>
        <v>0.241019990668421</v>
      </c>
      <c r="O455" s="6" t="n">
        <f aca="false">IF(L455=1,N455,1-N455)</f>
        <v>0.758980009331579</v>
      </c>
      <c r="P455" s="6" t="n">
        <f aca="false">LN(O455)</f>
        <v>-0.275779840099925</v>
      </c>
      <c r="AD455" s="8" t="n">
        <f aca="false">B455</f>
        <v>69</v>
      </c>
      <c r="AE455" s="8" t="n">
        <f aca="false">C455</f>
        <v>65900</v>
      </c>
      <c r="AF455" s="8" t="n">
        <f aca="false">D455</f>
        <v>5</v>
      </c>
      <c r="AG455" s="9" t="n">
        <f aca="false">E455*0.85</f>
        <v>26.928</v>
      </c>
      <c r="AH455" s="9" t="n">
        <f aca="false">F455*0.9</f>
        <v>3.6</v>
      </c>
      <c r="AI455" s="9" t="n">
        <f aca="false">G455</f>
        <v>0.42</v>
      </c>
      <c r="AJ455" s="9" t="n">
        <f aca="false">H455*1.2</f>
        <v>163.2</v>
      </c>
      <c r="AK455" s="8" t="n">
        <f aca="false">I455</f>
        <v>0</v>
      </c>
      <c r="AL455" s="8" t="n">
        <f aca="false">J455</f>
        <v>0</v>
      </c>
      <c r="AM455" s="9" t="n">
        <f aca="false">K455</f>
        <v>0.46</v>
      </c>
      <c r="AN455" s="6" t="n">
        <f aca="false">$R$2 + SUMPRODUCT(AD455:AM455,$S$2:$AB$2)</f>
        <v>-1.413971976</v>
      </c>
      <c r="AO455" s="6" t="n">
        <f aca="false">1/(1+EXP(-AN455))</f>
        <v>0.195608327277036</v>
      </c>
    </row>
    <row r="456" customFormat="false" ht="15" hidden="false" customHeight="false" outlineLevel="0" collapsed="false">
      <c r="A456" s="3" t="s">
        <v>520</v>
      </c>
      <c r="B456" s="4" t="n">
        <v>59</v>
      </c>
      <c r="C456" s="4" t="n">
        <v>32000</v>
      </c>
      <c r="D456" s="4" t="n">
        <v>6</v>
      </c>
      <c r="E456" s="5" t="n">
        <v>56.26</v>
      </c>
      <c r="F456" s="4" t="n">
        <v>3</v>
      </c>
      <c r="G456" s="5" t="n">
        <v>0.39</v>
      </c>
      <c r="H456" s="4" t="n">
        <v>183</v>
      </c>
      <c r="I456" s="4" t="n">
        <v>0</v>
      </c>
      <c r="J456" s="4" t="n">
        <v>1</v>
      </c>
      <c r="K456" s="5" t="n">
        <v>0.19</v>
      </c>
      <c r="L456" s="4" t="n">
        <v>0</v>
      </c>
      <c r="M456" s="6" t="n">
        <f aca="false">$R$2 + SUMPRODUCT(B456:K456,$S$2:$AB$2)</f>
        <v>-1.40672346</v>
      </c>
      <c r="N456" s="6" t="n">
        <f aca="false">1/(1+EXP(-M456))</f>
        <v>0.196751367155104</v>
      </c>
      <c r="O456" s="6" t="n">
        <f aca="false">IF(L456=1,N456,1-N456)</f>
        <v>0.803248632844896</v>
      </c>
      <c r="P456" s="6" t="n">
        <f aca="false">LN(O456)</f>
        <v>-0.219090983017004</v>
      </c>
      <c r="AD456" s="8" t="n">
        <f aca="false">B456</f>
        <v>59</v>
      </c>
      <c r="AE456" s="8" t="n">
        <f aca="false">C456</f>
        <v>32000</v>
      </c>
      <c r="AF456" s="8" t="n">
        <f aca="false">D456</f>
        <v>6</v>
      </c>
      <c r="AG456" s="9" t="n">
        <f aca="false">E456*0.85</f>
        <v>47.821</v>
      </c>
      <c r="AH456" s="9" t="n">
        <f aca="false">F456*0.9</f>
        <v>2.7</v>
      </c>
      <c r="AI456" s="9" t="n">
        <f aca="false">G456</f>
        <v>0.39</v>
      </c>
      <c r="AJ456" s="9" t="n">
        <f aca="false">H456*1.2</f>
        <v>219.6</v>
      </c>
      <c r="AK456" s="8" t="n">
        <f aca="false">I456</f>
        <v>0</v>
      </c>
      <c r="AL456" s="8" t="n">
        <f aca="false">J456</f>
        <v>1</v>
      </c>
      <c r="AM456" s="9" t="n">
        <f aca="false">K456</f>
        <v>0.19</v>
      </c>
      <c r="AN456" s="6" t="n">
        <f aca="false">$R$2 + SUMPRODUCT(AD456:AM456,$S$2:$AB$2)</f>
        <v>-1.765646247</v>
      </c>
      <c r="AO456" s="6" t="n">
        <f aca="false">1/(1+EXP(-AN456))</f>
        <v>0.146084596594993</v>
      </c>
    </row>
    <row r="457" customFormat="false" ht="15" hidden="false" customHeight="false" outlineLevel="0" collapsed="false">
      <c r="A457" s="3" t="s">
        <v>521</v>
      </c>
      <c r="B457" s="4" t="n">
        <v>23</v>
      </c>
      <c r="C457" s="4" t="n">
        <v>86600</v>
      </c>
      <c r="D457" s="4" t="n">
        <v>8</v>
      </c>
      <c r="E457" s="5" t="n">
        <v>45.69</v>
      </c>
      <c r="F457" s="4" t="n">
        <v>3</v>
      </c>
      <c r="G457" s="5" t="n">
        <v>0.35</v>
      </c>
      <c r="H457" s="4" t="n">
        <v>197</v>
      </c>
      <c r="I457" s="4" t="n">
        <v>1</v>
      </c>
      <c r="J457" s="4" t="n">
        <v>1</v>
      </c>
      <c r="K457" s="5" t="n">
        <v>0.14</v>
      </c>
      <c r="L457" s="4" t="n">
        <v>1</v>
      </c>
      <c r="M457" s="6" t="n">
        <f aca="false">$R$2 + SUMPRODUCT(B457:K457,$S$2:$AB$2)</f>
        <v>1.02170224</v>
      </c>
      <c r="N457" s="6" t="n">
        <f aca="false">1/(1+EXP(-M457))</f>
        <v>0.735304042532564</v>
      </c>
      <c r="O457" s="6" t="n">
        <f aca="false">IF(L457=1,N457,1-N457)</f>
        <v>0.735304042532564</v>
      </c>
      <c r="P457" s="6" t="n">
        <f aca="false">LN(O457)</f>
        <v>-0.307471201994768</v>
      </c>
      <c r="AD457" s="8" t="n">
        <f aca="false">B457</f>
        <v>23</v>
      </c>
      <c r="AE457" s="8" t="n">
        <f aca="false">C457</f>
        <v>86600</v>
      </c>
      <c r="AF457" s="8" t="n">
        <f aca="false">D457</f>
        <v>8</v>
      </c>
      <c r="AG457" s="9" t="n">
        <f aca="false">E457*0.85</f>
        <v>38.8365</v>
      </c>
      <c r="AH457" s="9" t="n">
        <f aca="false">F457*0.9</f>
        <v>2.7</v>
      </c>
      <c r="AI457" s="9" t="n">
        <f aca="false">G457</f>
        <v>0.35</v>
      </c>
      <c r="AJ457" s="9" t="n">
        <f aca="false">H457*1.2</f>
        <v>236.4</v>
      </c>
      <c r="AK457" s="8" t="n">
        <f aca="false">I457</f>
        <v>1</v>
      </c>
      <c r="AL457" s="8" t="n">
        <f aca="false">J457</f>
        <v>1</v>
      </c>
      <c r="AM457" s="9" t="n">
        <f aca="false">K457</f>
        <v>0.14</v>
      </c>
      <c r="AN457" s="6" t="n">
        <f aca="false">$R$2 + SUMPRODUCT(AD457:AM457,$S$2:$AB$2)</f>
        <v>0.6679550745</v>
      </c>
      <c r="AO457" s="6" t="n">
        <f aca="false">1/(1+EXP(-AN457))</f>
        <v>0.661045115057858</v>
      </c>
    </row>
    <row r="458" customFormat="false" ht="15" hidden="false" customHeight="false" outlineLevel="0" collapsed="false">
      <c r="A458" s="3" t="s">
        <v>522</v>
      </c>
      <c r="B458" s="4" t="n">
        <v>32</v>
      </c>
      <c r="C458" s="4" t="n">
        <v>17500</v>
      </c>
      <c r="D458" s="4" t="n">
        <v>5</v>
      </c>
      <c r="E458" s="5" t="n">
        <v>74.48</v>
      </c>
      <c r="F458" s="4" t="n">
        <v>3</v>
      </c>
      <c r="G458" s="5" t="n">
        <v>0.57</v>
      </c>
      <c r="H458" s="4" t="n">
        <v>172</v>
      </c>
      <c r="I458" s="4" t="n">
        <v>1</v>
      </c>
      <c r="J458" s="4" t="n">
        <v>0</v>
      </c>
      <c r="K458" s="5" t="n">
        <v>0.39</v>
      </c>
      <c r="L458" s="4" t="n">
        <v>1</v>
      </c>
      <c r="M458" s="6" t="n">
        <f aca="false">$R$2 + SUMPRODUCT(B458:K458,$S$2:$AB$2)</f>
        <v>-0.68898982</v>
      </c>
      <c r="N458" s="6" t="n">
        <f aca="false">1/(1+EXP(-M458))</f>
        <v>0.334257830481984</v>
      </c>
      <c r="O458" s="6" t="n">
        <f aca="false">IF(L458=1,N458,1-N458)</f>
        <v>0.334257830481984</v>
      </c>
      <c r="P458" s="6" t="n">
        <f aca="false">LN(O458)</f>
        <v>-1.09584263625285</v>
      </c>
      <c r="AD458" s="8" t="n">
        <f aca="false">B458</f>
        <v>32</v>
      </c>
      <c r="AE458" s="8" t="n">
        <f aca="false">C458</f>
        <v>17500</v>
      </c>
      <c r="AF458" s="8" t="n">
        <f aca="false">D458</f>
        <v>5</v>
      </c>
      <c r="AG458" s="9" t="n">
        <f aca="false">E458*0.85</f>
        <v>63.308</v>
      </c>
      <c r="AH458" s="9" t="n">
        <f aca="false">F458*0.9</f>
        <v>2.7</v>
      </c>
      <c r="AI458" s="9" t="n">
        <f aca="false">G458</f>
        <v>0.57</v>
      </c>
      <c r="AJ458" s="9" t="n">
        <f aca="false">H458*1.2</f>
        <v>206.4</v>
      </c>
      <c r="AK458" s="8" t="n">
        <f aca="false">I458</f>
        <v>1</v>
      </c>
      <c r="AL458" s="8" t="n">
        <f aca="false">J458</f>
        <v>0</v>
      </c>
      <c r="AM458" s="9" t="n">
        <f aca="false">K458</f>
        <v>0.39</v>
      </c>
      <c r="AN458" s="6" t="n">
        <f aca="false">$R$2 + SUMPRODUCT(AD458:AM458,$S$2:$AB$2)</f>
        <v>-1.071957396</v>
      </c>
      <c r="AO458" s="6" t="n">
        <f aca="false">1/(1+EXP(-AN458))</f>
        <v>0.2550310198309</v>
      </c>
    </row>
    <row r="459" customFormat="false" ht="15" hidden="false" customHeight="false" outlineLevel="0" collapsed="false">
      <c r="A459" s="3" t="s">
        <v>523</v>
      </c>
      <c r="B459" s="4" t="n">
        <v>60</v>
      </c>
      <c r="C459" s="4" t="n">
        <v>85500</v>
      </c>
      <c r="D459" s="4" t="n">
        <v>6</v>
      </c>
      <c r="E459" s="5" t="n">
        <v>95.76</v>
      </c>
      <c r="F459" s="4" t="n">
        <v>4</v>
      </c>
      <c r="G459" s="5" t="n">
        <v>0.14</v>
      </c>
      <c r="H459" s="4" t="n">
        <v>349</v>
      </c>
      <c r="I459" s="4" t="n">
        <v>0</v>
      </c>
      <c r="J459" s="4" t="n">
        <v>0</v>
      </c>
      <c r="K459" s="5" t="n">
        <v>0.24</v>
      </c>
      <c r="L459" s="4" t="n">
        <v>0</v>
      </c>
      <c r="M459" s="6" t="n">
        <f aca="false">$R$2 + SUMPRODUCT(B459:K459,$S$2:$AB$2)</f>
        <v>-1.48230606</v>
      </c>
      <c r="N459" s="6" t="n">
        <f aca="false">1/(1+EXP(-M459))</f>
        <v>0.185079355203443</v>
      </c>
      <c r="O459" s="6" t="n">
        <f aca="false">IF(L459=1,N459,1-N459)</f>
        <v>0.814920644796558</v>
      </c>
      <c r="P459" s="6" t="n">
        <f aca="false">LN(O459)</f>
        <v>-0.204664538829662</v>
      </c>
      <c r="AD459" s="8" t="n">
        <f aca="false">B459</f>
        <v>60</v>
      </c>
      <c r="AE459" s="8" t="n">
        <f aca="false">C459</f>
        <v>85500</v>
      </c>
      <c r="AF459" s="8" t="n">
        <f aca="false">D459</f>
        <v>6</v>
      </c>
      <c r="AG459" s="9" t="n">
        <f aca="false">E459*0.85</f>
        <v>81.396</v>
      </c>
      <c r="AH459" s="9" t="n">
        <f aca="false">F459*0.9</f>
        <v>3.6</v>
      </c>
      <c r="AI459" s="9" t="n">
        <f aca="false">G459</f>
        <v>0.14</v>
      </c>
      <c r="AJ459" s="9" t="n">
        <f aca="false">H459*1.2</f>
        <v>418.8</v>
      </c>
      <c r="AK459" s="8" t="n">
        <f aca="false">I459</f>
        <v>0</v>
      </c>
      <c r="AL459" s="8" t="n">
        <f aca="false">J459</f>
        <v>0</v>
      </c>
      <c r="AM459" s="9" t="n">
        <f aca="false">K459</f>
        <v>0.24</v>
      </c>
      <c r="AN459" s="6" t="n">
        <f aca="false">$R$2 + SUMPRODUCT(AD459:AM459,$S$2:$AB$2)</f>
        <v>-2.123591272</v>
      </c>
      <c r="AO459" s="6" t="n">
        <f aca="false">1/(1+EXP(-AN459))</f>
        <v>0.106824930996279</v>
      </c>
    </row>
    <row r="460" customFormat="false" ht="15" hidden="false" customHeight="false" outlineLevel="0" collapsed="false">
      <c r="A460" s="3" t="s">
        <v>524</v>
      </c>
      <c r="B460" s="4" t="n">
        <v>54</v>
      </c>
      <c r="C460" s="4" t="n">
        <v>58800</v>
      </c>
      <c r="D460" s="4" t="n">
        <v>7</v>
      </c>
      <c r="E460" s="5" t="n">
        <v>50.08</v>
      </c>
      <c r="F460" s="4" t="n">
        <v>4</v>
      </c>
      <c r="G460" s="5" t="n">
        <v>0.23</v>
      </c>
      <c r="H460" s="4" t="n">
        <v>276</v>
      </c>
      <c r="I460" s="4" t="n">
        <v>0</v>
      </c>
      <c r="J460" s="4" t="n">
        <v>0</v>
      </c>
      <c r="K460" s="5" t="n">
        <v>0.54</v>
      </c>
      <c r="L460" s="4" t="n">
        <v>0</v>
      </c>
      <c r="M460" s="6" t="n">
        <f aca="false">$R$2 + SUMPRODUCT(B460:K460,$S$2:$AB$2)</f>
        <v>-1.54097421</v>
      </c>
      <c r="N460" s="6" t="n">
        <f aca="false">1/(1+EXP(-M460))</f>
        <v>0.176393697939874</v>
      </c>
      <c r="O460" s="6" t="n">
        <f aca="false">IF(L460=1,N460,1-N460)</f>
        <v>0.823606302060126</v>
      </c>
      <c r="P460" s="6" t="n">
        <f aca="false">LN(O460)</f>
        <v>-0.194062652012069</v>
      </c>
      <c r="AD460" s="8" t="n">
        <f aca="false">B460</f>
        <v>54</v>
      </c>
      <c r="AE460" s="8" t="n">
        <f aca="false">C460</f>
        <v>58800</v>
      </c>
      <c r="AF460" s="8" t="n">
        <f aca="false">D460</f>
        <v>7</v>
      </c>
      <c r="AG460" s="9" t="n">
        <f aca="false">E460*0.85</f>
        <v>42.568</v>
      </c>
      <c r="AH460" s="9" t="n">
        <f aca="false">F460*0.9</f>
        <v>3.6</v>
      </c>
      <c r="AI460" s="9" t="n">
        <f aca="false">G460</f>
        <v>0.23</v>
      </c>
      <c r="AJ460" s="9" t="n">
        <f aca="false">H460*1.2</f>
        <v>331.2</v>
      </c>
      <c r="AK460" s="8" t="n">
        <f aca="false">I460</f>
        <v>0</v>
      </c>
      <c r="AL460" s="8" t="n">
        <f aca="false">J460</f>
        <v>0</v>
      </c>
      <c r="AM460" s="9" t="n">
        <f aca="false">K460</f>
        <v>0.54</v>
      </c>
      <c r="AN460" s="6" t="n">
        <f aca="false">$R$2 + SUMPRODUCT(AD460:AM460,$S$2:$AB$2)</f>
        <v>-2.006149706</v>
      </c>
      <c r="AO460" s="6" t="n">
        <f aca="false">1/(1+EXP(-AN460))</f>
        <v>0.118558752879051</v>
      </c>
    </row>
    <row r="461" customFormat="false" ht="15" hidden="false" customHeight="false" outlineLevel="0" collapsed="false">
      <c r="A461" s="3" t="s">
        <v>525</v>
      </c>
      <c r="B461" s="4" t="n">
        <v>50</v>
      </c>
      <c r="C461" s="4" t="n">
        <v>53300</v>
      </c>
      <c r="D461" s="4" t="n">
        <v>0</v>
      </c>
      <c r="E461" s="5" t="n">
        <v>10</v>
      </c>
      <c r="F461" s="4" t="n">
        <v>3</v>
      </c>
      <c r="G461" s="5" t="n">
        <v>0.1</v>
      </c>
      <c r="H461" s="4" t="n">
        <v>78</v>
      </c>
      <c r="I461" s="4" t="n">
        <v>1</v>
      </c>
      <c r="J461" s="4" t="n">
        <v>0</v>
      </c>
      <c r="K461" s="5" t="n">
        <v>0.07</v>
      </c>
      <c r="L461" s="4" t="n">
        <v>1</v>
      </c>
      <c r="M461" s="6" t="n">
        <f aca="false">$R$2 + SUMPRODUCT(B461:K461,$S$2:$AB$2)</f>
        <v>-2.48397459</v>
      </c>
      <c r="N461" s="6" t="n">
        <f aca="false">1/(1+EXP(-M461))</f>
        <v>0.076989284786323</v>
      </c>
      <c r="O461" s="6" t="n">
        <f aca="false">IF(L461=1,N461,1-N461)</f>
        <v>0.076989284786323</v>
      </c>
      <c r="P461" s="6" t="n">
        <f aca="false">LN(O461)</f>
        <v>-2.56408902543109</v>
      </c>
      <c r="AD461" s="8" t="n">
        <f aca="false">B461</f>
        <v>50</v>
      </c>
      <c r="AE461" s="8" t="n">
        <f aca="false">C461</f>
        <v>53300</v>
      </c>
      <c r="AF461" s="8" t="n">
        <f aca="false">D461</f>
        <v>0</v>
      </c>
      <c r="AG461" s="9" t="n">
        <f aca="false">E461*0.85</f>
        <v>8.5</v>
      </c>
      <c r="AH461" s="9" t="n">
        <f aca="false">F461*0.9</f>
        <v>2.7</v>
      </c>
      <c r="AI461" s="9" t="n">
        <f aca="false">G461</f>
        <v>0.1</v>
      </c>
      <c r="AJ461" s="9" t="n">
        <f aca="false">H461*1.2</f>
        <v>93.6</v>
      </c>
      <c r="AK461" s="8" t="n">
        <f aca="false">I461</f>
        <v>1</v>
      </c>
      <c r="AL461" s="8" t="n">
        <f aca="false">J461</f>
        <v>0</v>
      </c>
      <c r="AM461" s="9" t="n">
        <f aca="false">K461</f>
        <v>0.07</v>
      </c>
      <c r="AN461" s="6" t="n">
        <f aca="false">$R$2 + SUMPRODUCT(AD461:AM461,$S$2:$AB$2)</f>
        <v>-2.62876779</v>
      </c>
      <c r="AO461" s="6" t="n">
        <f aca="false">1/(1+EXP(-AN461))</f>
        <v>0.0673097664668966</v>
      </c>
    </row>
    <row r="462" customFormat="false" ht="15" hidden="false" customHeight="false" outlineLevel="0" collapsed="false">
      <c r="A462" s="3" t="s">
        <v>526</v>
      </c>
      <c r="B462" s="4" t="n">
        <v>25</v>
      </c>
      <c r="C462" s="4" t="n">
        <v>45200</v>
      </c>
      <c r="D462" s="4" t="n">
        <v>3</v>
      </c>
      <c r="E462" s="5" t="n">
        <v>54.69</v>
      </c>
      <c r="F462" s="4" t="n">
        <v>5</v>
      </c>
      <c r="G462" s="5" t="n">
        <v>0.43</v>
      </c>
      <c r="H462" s="4" t="n">
        <v>178</v>
      </c>
      <c r="I462" s="4" t="n">
        <v>1</v>
      </c>
      <c r="J462" s="4" t="n">
        <v>1</v>
      </c>
      <c r="K462" s="5" t="n">
        <v>0.5</v>
      </c>
      <c r="L462" s="4" t="n">
        <v>1</v>
      </c>
      <c r="M462" s="6" t="n">
        <f aca="false">$R$2 + SUMPRODUCT(B462:K462,$S$2:$AB$2)</f>
        <v>0.106205800000001</v>
      </c>
      <c r="N462" s="6" t="n">
        <f aca="false">1/(1+EXP(-M462))</f>
        <v>0.526526520482143</v>
      </c>
      <c r="O462" s="6" t="n">
        <f aca="false">IF(L462=1,N462,1-N462)</f>
        <v>0.526526520482143</v>
      </c>
      <c r="P462" s="6" t="n">
        <f aca="false">LN(O462)</f>
        <v>-0.641453577390576</v>
      </c>
      <c r="AD462" s="8" t="n">
        <f aca="false">B462</f>
        <v>25</v>
      </c>
      <c r="AE462" s="8" t="n">
        <f aca="false">C462</f>
        <v>45200</v>
      </c>
      <c r="AF462" s="8" t="n">
        <f aca="false">D462</f>
        <v>3</v>
      </c>
      <c r="AG462" s="9" t="n">
        <f aca="false">E462*0.85</f>
        <v>46.4865</v>
      </c>
      <c r="AH462" s="9" t="n">
        <f aca="false">F462*0.9</f>
        <v>4.5</v>
      </c>
      <c r="AI462" s="9" t="n">
        <f aca="false">G462</f>
        <v>0.43</v>
      </c>
      <c r="AJ462" s="9" t="n">
        <f aca="false">H462*1.2</f>
        <v>213.6</v>
      </c>
      <c r="AK462" s="8" t="n">
        <f aca="false">I462</f>
        <v>1</v>
      </c>
      <c r="AL462" s="8" t="n">
        <f aca="false">J462</f>
        <v>1</v>
      </c>
      <c r="AM462" s="9" t="n">
        <f aca="false">K462</f>
        <v>0.5</v>
      </c>
      <c r="AN462" s="6" t="n">
        <f aca="false">$R$2 + SUMPRODUCT(AD462:AM462,$S$2:$AB$2)</f>
        <v>-0.2670081155</v>
      </c>
      <c r="AO462" s="6" t="n">
        <f aca="false">1/(1+EXP(-AN462))</f>
        <v>0.433641745238864</v>
      </c>
    </row>
    <row r="463" customFormat="false" ht="15" hidden="false" customHeight="false" outlineLevel="0" collapsed="false">
      <c r="A463" s="3" t="s">
        <v>527</v>
      </c>
      <c r="B463" s="4" t="n">
        <v>61</v>
      </c>
      <c r="C463" s="4" t="n">
        <v>62200</v>
      </c>
      <c r="D463" s="4" t="n">
        <v>7</v>
      </c>
      <c r="E463" s="5" t="n">
        <v>87.84</v>
      </c>
      <c r="F463" s="4" t="n">
        <v>3</v>
      </c>
      <c r="G463" s="5" t="n">
        <v>0.06</v>
      </c>
      <c r="H463" s="4" t="n">
        <v>27</v>
      </c>
      <c r="I463" s="4" t="n">
        <v>1</v>
      </c>
      <c r="J463" s="4" t="n">
        <v>1</v>
      </c>
      <c r="K463" s="5" t="n">
        <v>0.64</v>
      </c>
      <c r="L463" s="4" t="n">
        <v>1</v>
      </c>
      <c r="M463" s="6" t="n">
        <f aca="false">$R$2 + SUMPRODUCT(B463:K463,$S$2:$AB$2)</f>
        <v>1.4692661</v>
      </c>
      <c r="N463" s="6" t="n">
        <f aca="false">1/(1+EXP(-M463))</f>
        <v>0.812945811218222</v>
      </c>
      <c r="O463" s="6" t="n">
        <f aca="false">IF(L463=1,N463,1-N463)</f>
        <v>0.812945811218222</v>
      </c>
      <c r="P463" s="6" t="n">
        <f aca="false">LN(O463)</f>
        <v>-0.207090824523843</v>
      </c>
      <c r="AD463" s="8" t="n">
        <f aca="false">B463</f>
        <v>61</v>
      </c>
      <c r="AE463" s="8" t="n">
        <f aca="false">C463</f>
        <v>62200</v>
      </c>
      <c r="AF463" s="8" t="n">
        <f aca="false">D463</f>
        <v>7</v>
      </c>
      <c r="AG463" s="9" t="n">
        <f aca="false">E463*0.85</f>
        <v>74.664</v>
      </c>
      <c r="AH463" s="9" t="n">
        <f aca="false">F463*0.9</f>
        <v>2.7</v>
      </c>
      <c r="AI463" s="9" t="n">
        <f aca="false">G463</f>
        <v>0.06</v>
      </c>
      <c r="AJ463" s="9" t="n">
        <f aca="false">H463*1.2</f>
        <v>32.4</v>
      </c>
      <c r="AK463" s="8" t="n">
        <f aca="false">I463</f>
        <v>1</v>
      </c>
      <c r="AL463" s="8" t="n">
        <f aca="false">J463</f>
        <v>1</v>
      </c>
      <c r="AM463" s="9" t="n">
        <f aca="false">K463</f>
        <v>0.64</v>
      </c>
      <c r="AN463" s="6" t="n">
        <f aca="false">$R$2 + SUMPRODUCT(AD463:AM463,$S$2:$AB$2)</f>
        <v>1.226360792</v>
      </c>
      <c r="AO463" s="6" t="n">
        <f aca="false">1/(1+EXP(-AN463))</f>
        <v>0.773180993119309</v>
      </c>
    </row>
    <row r="464" customFormat="false" ht="15" hidden="false" customHeight="false" outlineLevel="0" collapsed="false">
      <c r="A464" s="3" t="s">
        <v>528</v>
      </c>
      <c r="B464" s="4" t="n">
        <v>61</v>
      </c>
      <c r="C464" s="4" t="n">
        <v>54300</v>
      </c>
      <c r="D464" s="4" t="n">
        <v>4</v>
      </c>
      <c r="E464" s="5" t="n">
        <v>78.44</v>
      </c>
      <c r="F464" s="4" t="n">
        <v>5</v>
      </c>
      <c r="G464" s="5" t="n">
        <v>0.47</v>
      </c>
      <c r="H464" s="4" t="n">
        <v>120</v>
      </c>
      <c r="I464" s="4" t="n">
        <v>1</v>
      </c>
      <c r="J464" s="4" t="n">
        <v>1</v>
      </c>
      <c r="K464" s="5" t="n">
        <v>0.24</v>
      </c>
      <c r="L464" s="4" t="n">
        <v>1</v>
      </c>
      <c r="M464" s="6" t="n">
        <f aca="false">$R$2 + SUMPRODUCT(B464:K464,$S$2:$AB$2)</f>
        <v>0.512150810000001</v>
      </c>
      <c r="N464" s="6" t="n">
        <f aca="false">1/(1+EXP(-M464))</f>
        <v>0.625310539037894</v>
      </c>
      <c r="O464" s="6" t="n">
        <f aca="false">IF(L464=1,N464,1-N464)</f>
        <v>0.625310539037894</v>
      </c>
      <c r="P464" s="6" t="n">
        <f aca="false">LN(O464)</f>
        <v>-0.469506890180386</v>
      </c>
      <c r="AD464" s="8" t="n">
        <f aca="false">B464</f>
        <v>61</v>
      </c>
      <c r="AE464" s="8" t="n">
        <f aca="false">C464</f>
        <v>54300</v>
      </c>
      <c r="AF464" s="8" t="n">
        <f aca="false">D464</f>
        <v>4</v>
      </c>
      <c r="AG464" s="9" t="n">
        <f aca="false">E464*0.85</f>
        <v>66.674</v>
      </c>
      <c r="AH464" s="9" t="n">
        <f aca="false">F464*0.9</f>
        <v>4.5</v>
      </c>
      <c r="AI464" s="9" t="n">
        <f aca="false">G464</f>
        <v>0.47</v>
      </c>
      <c r="AJ464" s="9" t="n">
        <f aca="false">H464*1.2</f>
        <v>144</v>
      </c>
      <c r="AK464" s="8" t="n">
        <f aca="false">I464</f>
        <v>1</v>
      </c>
      <c r="AL464" s="8" t="n">
        <f aca="false">J464</f>
        <v>1</v>
      </c>
      <c r="AM464" s="9" t="n">
        <f aca="false">K464</f>
        <v>0.24</v>
      </c>
      <c r="AN464" s="6" t="n">
        <f aca="false">$R$2 + SUMPRODUCT(AD464:AM464,$S$2:$AB$2)</f>
        <v>0.157874632</v>
      </c>
      <c r="AO464" s="6" t="n">
        <f aca="false">1/(1+EXP(-AN464))</f>
        <v>0.539386884094093</v>
      </c>
    </row>
    <row r="465" customFormat="false" ht="15" hidden="false" customHeight="false" outlineLevel="0" collapsed="false">
      <c r="A465" s="3" t="s">
        <v>529</v>
      </c>
      <c r="B465" s="4" t="n">
        <v>22</v>
      </c>
      <c r="C465" s="4" t="n">
        <v>74900</v>
      </c>
      <c r="D465" s="4" t="n">
        <v>7</v>
      </c>
      <c r="E465" s="5" t="n">
        <v>75.7</v>
      </c>
      <c r="F465" s="4" t="n">
        <v>1</v>
      </c>
      <c r="G465" s="5" t="n">
        <v>0.4</v>
      </c>
      <c r="H465" s="4" t="n">
        <v>281</v>
      </c>
      <c r="I465" s="4" t="n">
        <v>1</v>
      </c>
      <c r="J465" s="4" t="n">
        <v>0</v>
      </c>
      <c r="K465" s="5" t="n">
        <v>0.15</v>
      </c>
      <c r="L465" s="4" t="n">
        <v>1</v>
      </c>
      <c r="M465" s="6" t="n">
        <f aca="false">$R$2 + SUMPRODUCT(B465:K465,$S$2:$AB$2)</f>
        <v>-0.27308355</v>
      </c>
      <c r="N465" s="6" t="n">
        <f aca="false">1/(1+EXP(-M465))</f>
        <v>0.43215024518511</v>
      </c>
      <c r="O465" s="6" t="n">
        <f aca="false">IF(L465=1,N465,1-N465)</f>
        <v>0.43215024518511</v>
      </c>
      <c r="P465" s="6" t="n">
        <f aca="false">LN(O465)</f>
        <v>-0.838981961422527</v>
      </c>
      <c r="AD465" s="8" t="n">
        <f aca="false">B465</f>
        <v>22</v>
      </c>
      <c r="AE465" s="8" t="n">
        <f aca="false">C465</f>
        <v>74900</v>
      </c>
      <c r="AF465" s="8" t="n">
        <f aca="false">D465</f>
        <v>7</v>
      </c>
      <c r="AG465" s="9" t="n">
        <f aca="false">E465*0.85</f>
        <v>64.345</v>
      </c>
      <c r="AH465" s="9" t="n">
        <f aca="false">F465*0.9</f>
        <v>0.9</v>
      </c>
      <c r="AI465" s="9" t="n">
        <f aca="false">G465</f>
        <v>0.4</v>
      </c>
      <c r="AJ465" s="9" t="n">
        <f aca="false">H465*1.2</f>
        <v>337.2</v>
      </c>
      <c r="AK465" s="8" t="n">
        <f aca="false">I465</f>
        <v>1</v>
      </c>
      <c r="AL465" s="8" t="n">
        <f aca="false">J465</f>
        <v>0</v>
      </c>
      <c r="AM465" s="9" t="n">
        <f aca="false">K465</f>
        <v>0.15</v>
      </c>
      <c r="AN465" s="6" t="n">
        <f aca="false">$R$2 + SUMPRODUCT(AD465:AM465,$S$2:$AB$2)</f>
        <v>-0.760821164999999</v>
      </c>
      <c r="AO465" s="6" t="n">
        <f aca="false">1/(1+EXP(-AN465))</f>
        <v>0.318468008958134</v>
      </c>
    </row>
    <row r="466" customFormat="false" ht="15" hidden="false" customHeight="false" outlineLevel="0" collapsed="false">
      <c r="A466" s="3" t="s">
        <v>530</v>
      </c>
      <c r="B466" s="4" t="n">
        <v>56</v>
      </c>
      <c r="C466" s="4" t="n">
        <v>57100</v>
      </c>
      <c r="D466" s="4" t="n">
        <v>7</v>
      </c>
      <c r="E466" s="5" t="n">
        <v>58</v>
      </c>
      <c r="F466" s="4" t="n">
        <v>6</v>
      </c>
      <c r="G466" s="5" t="n">
        <v>0.68</v>
      </c>
      <c r="H466" s="4" t="n">
        <v>308</v>
      </c>
      <c r="I466" s="4" t="n">
        <v>1</v>
      </c>
      <c r="J466" s="4" t="n">
        <v>1</v>
      </c>
      <c r="K466" s="5" t="n">
        <v>0.39</v>
      </c>
      <c r="L466" s="4" t="n">
        <v>1</v>
      </c>
      <c r="M466" s="6" t="n">
        <f aca="false">$R$2 + SUMPRODUCT(B466:K466,$S$2:$AB$2)</f>
        <v>0.477975150000001</v>
      </c>
      <c r="N466" s="6" t="n">
        <f aca="false">1/(1+EXP(-M466))</f>
        <v>0.617269622065181</v>
      </c>
      <c r="O466" s="6" t="n">
        <f aca="false">IF(L466=1,N466,1-N466)</f>
        <v>0.617269622065181</v>
      </c>
      <c r="P466" s="6" t="n">
        <f aca="false">LN(O466)</f>
        <v>-0.482449361768108</v>
      </c>
      <c r="AD466" s="8" t="n">
        <f aca="false">B466</f>
        <v>56</v>
      </c>
      <c r="AE466" s="8" t="n">
        <f aca="false">C466</f>
        <v>57100</v>
      </c>
      <c r="AF466" s="8" t="n">
        <f aca="false">D466</f>
        <v>7</v>
      </c>
      <c r="AG466" s="9" t="n">
        <f aca="false">E466*0.85</f>
        <v>49.3</v>
      </c>
      <c r="AH466" s="9" t="n">
        <f aca="false">F466*0.9</f>
        <v>5.4</v>
      </c>
      <c r="AI466" s="9" t="n">
        <f aca="false">G466</f>
        <v>0.68</v>
      </c>
      <c r="AJ466" s="9" t="n">
        <f aca="false">H466*1.2</f>
        <v>369.6</v>
      </c>
      <c r="AK466" s="8" t="n">
        <f aca="false">I466</f>
        <v>1</v>
      </c>
      <c r="AL466" s="8" t="n">
        <f aca="false">J466</f>
        <v>1</v>
      </c>
      <c r="AM466" s="9" t="n">
        <f aca="false">K466</f>
        <v>0.39</v>
      </c>
      <c r="AN466" s="6" t="n">
        <f aca="false">$R$2 + SUMPRODUCT(AD466:AM466,$S$2:$AB$2)</f>
        <v>-0.063222549999999</v>
      </c>
      <c r="AO466" s="6" t="n">
        <f aca="false">1/(1+EXP(-AN466))</f>
        <v>0.484199625110555</v>
      </c>
    </row>
    <row r="467" customFormat="false" ht="15" hidden="false" customHeight="false" outlineLevel="0" collapsed="false">
      <c r="A467" s="3" t="s">
        <v>531</v>
      </c>
      <c r="B467" s="4" t="n">
        <v>21</v>
      </c>
      <c r="C467" s="4" t="n">
        <v>57700</v>
      </c>
      <c r="D467" s="4" t="n">
        <v>10</v>
      </c>
      <c r="E467" s="5" t="n">
        <v>33.02</v>
      </c>
      <c r="F467" s="4" t="n">
        <v>6</v>
      </c>
      <c r="G467" s="5" t="n">
        <v>0.67</v>
      </c>
      <c r="H467" s="4" t="n">
        <v>196</v>
      </c>
      <c r="I467" s="4" t="n">
        <v>0</v>
      </c>
      <c r="J467" s="4" t="n">
        <v>0</v>
      </c>
      <c r="K467" s="5" t="n">
        <v>0.09</v>
      </c>
      <c r="L467" s="4" t="n">
        <v>1</v>
      </c>
      <c r="M467" s="6" t="n">
        <f aca="false">$R$2 + SUMPRODUCT(B467:K467,$S$2:$AB$2)</f>
        <v>0.0586872000000005</v>
      </c>
      <c r="N467" s="6" t="n">
        <f aca="false">1/(1+EXP(-M467))</f>
        <v>0.514667590414076</v>
      </c>
      <c r="O467" s="6" t="n">
        <f aca="false">IF(L467=1,N467,1-N467)</f>
        <v>0.514667590414076</v>
      </c>
      <c r="P467" s="6" t="n">
        <f aca="false">LN(O467)</f>
        <v>-0.664234042221133</v>
      </c>
      <c r="AD467" s="8" t="n">
        <f aca="false">B467</f>
        <v>21</v>
      </c>
      <c r="AE467" s="8" t="n">
        <f aca="false">C467</f>
        <v>57700</v>
      </c>
      <c r="AF467" s="8" t="n">
        <f aca="false">D467</f>
        <v>10</v>
      </c>
      <c r="AG467" s="9" t="n">
        <f aca="false">E467*0.85</f>
        <v>28.067</v>
      </c>
      <c r="AH467" s="9" t="n">
        <f aca="false">F467*0.9</f>
        <v>5.4</v>
      </c>
      <c r="AI467" s="9" t="n">
        <f aca="false">G467</f>
        <v>0.67</v>
      </c>
      <c r="AJ467" s="9" t="n">
        <f aca="false">H467*1.2</f>
        <v>235.2</v>
      </c>
      <c r="AK467" s="8" t="n">
        <f aca="false">I467</f>
        <v>0</v>
      </c>
      <c r="AL467" s="8" t="n">
        <f aca="false">J467</f>
        <v>0</v>
      </c>
      <c r="AM467" s="9" t="n">
        <f aca="false">K467</f>
        <v>0.09</v>
      </c>
      <c r="AN467" s="6" t="n">
        <f aca="false">$R$2 + SUMPRODUCT(AD467:AM467,$S$2:$AB$2)</f>
        <v>-0.303197849</v>
      </c>
      <c r="AO467" s="6" t="n">
        <f aca="false">1/(1+EXP(-AN467))</f>
        <v>0.424775929140363</v>
      </c>
    </row>
    <row r="468" customFormat="false" ht="15" hidden="false" customHeight="false" outlineLevel="0" collapsed="false">
      <c r="A468" s="3" t="s">
        <v>532</v>
      </c>
      <c r="B468" s="4" t="n">
        <v>23</v>
      </c>
      <c r="C468" s="4" t="n">
        <v>48500</v>
      </c>
      <c r="D468" s="4" t="n">
        <v>3</v>
      </c>
      <c r="E468" s="5" t="n">
        <v>77.88</v>
      </c>
      <c r="F468" s="4" t="n">
        <v>2</v>
      </c>
      <c r="G468" s="5" t="n">
        <v>0.35</v>
      </c>
      <c r="H468" s="4" t="n">
        <v>277</v>
      </c>
      <c r="I468" s="4" t="n">
        <v>0</v>
      </c>
      <c r="J468" s="4" t="n">
        <v>1</v>
      </c>
      <c r="K468" s="5" t="n">
        <v>0.47</v>
      </c>
      <c r="L468" s="4" t="n">
        <v>1</v>
      </c>
      <c r="M468" s="6" t="n">
        <f aca="false">$R$2 + SUMPRODUCT(B468:K468,$S$2:$AB$2)</f>
        <v>-1.2929896</v>
      </c>
      <c r="N468" s="6" t="n">
        <f aca="false">1/(1+EXP(-M468))</f>
        <v>0.215347219874987</v>
      </c>
      <c r="O468" s="6" t="n">
        <f aca="false">IF(L468=1,N468,1-N468)</f>
        <v>0.215347219874987</v>
      </c>
      <c r="P468" s="6" t="n">
        <f aca="false">LN(O468)</f>
        <v>-1.53550357736341</v>
      </c>
      <c r="AD468" s="8" t="n">
        <f aca="false">B468</f>
        <v>23</v>
      </c>
      <c r="AE468" s="8" t="n">
        <f aca="false">C468</f>
        <v>48500</v>
      </c>
      <c r="AF468" s="8" t="n">
        <f aca="false">D468</f>
        <v>3</v>
      </c>
      <c r="AG468" s="9" t="n">
        <f aca="false">E468*0.85</f>
        <v>66.198</v>
      </c>
      <c r="AH468" s="9" t="n">
        <f aca="false">F468*0.9</f>
        <v>1.8</v>
      </c>
      <c r="AI468" s="9" t="n">
        <f aca="false">G468</f>
        <v>0.35</v>
      </c>
      <c r="AJ468" s="9" t="n">
        <f aca="false">H468*1.2</f>
        <v>332.4</v>
      </c>
      <c r="AK468" s="8" t="n">
        <f aca="false">I468</f>
        <v>0</v>
      </c>
      <c r="AL468" s="8" t="n">
        <f aca="false">J468</f>
        <v>1</v>
      </c>
      <c r="AM468" s="9" t="n">
        <f aca="false">K468</f>
        <v>0.47</v>
      </c>
      <c r="AN468" s="6" t="n">
        <f aca="false">$R$2 + SUMPRODUCT(AD468:AM468,$S$2:$AB$2)</f>
        <v>-1.792119706</v>
      </c>
      <c r="AO468" s="6" t="n">
        <f aca="false">1/(1+EXP(-AN468))</f>
        <v>0.14281303790685</v>
      </c>
    </row>
    <row r="469" customFormat="false" ht="15" hidden="false" customHeight="false" outlineLevel="0" collapsed="false">
      <c r="A469" s="3" t="s">
        <v>533</v>
      </c>
      <c r="B469" s="4" t="n">
        <v>62</v>
      </c>
      <c r="C469" s="4" t="n">
        <v>54000</v>
      </c>
      <c r="D469" s="4" t="n">
        <v>4</v>
      </c>
      <c r="E469" s="5" t="n">
        <v>44.14</v>
      </c>
      <c r="F469" s="4" t="n">
        <v>6</v>
      </c>
      <c r="G469" s="5" t="n">
        <v>0.67</v>
      </c>
      <c r="H469" s="4" t="n">
        <v>18</v>
      </c>
      <c r="I469" s="4" t="n">
        <v>0</v>
      </c>
      <c r="J469" s="4" t="n">
        <v>1</v>
      </c>
      <c r="K469" s="5" t="n">
        <v>0.12</v>
      </c>
      <c r="L469" s="4" t="n">
        <v>0</v>
      </c>
      <c r="M469" s="6" t="n">
        <f aca="false">$R$2 + SUMPRODUCT(B469:K469,$S$2:$AB$2)</f>
        <v>0.20475415</v>
      </c>
      <c r="N469" s="6" t="n">
        <f aca="false">1/(1+EXP(-M469))</f>
        <v>0.551010447288273</v>
      </c>
      <c r="O469" s="6" t="n">
        <f aca="false">IF(L469=1,N469,1-N469)</f>
        <v>0.448989552711727</v>
      </c>
      <c r="P469" s="6" t="n">
        <f aca="false">LN(O469)</f>
        <v>-0.800755659413197</v>
      </c>
      <c r="AD469" s="8" t="n">
        <f aca="false">B469</f>
        <v>62</v>
      </c>
      <c r="AE469" s="8" t="n">
        <f aca="false">C469</f>
        <v>54000</v>
      </c>
      <c r="AF469" s="8" t="n">
        <f aca="false">D469</f>
        <v>4</v>
      </c>
      <c r="AG469" s="9" t="n">
        <f aca="false">E469*0.85</f>
        <v>37.519</v>
      </c>
      <c r="AH469" s="9" t="n">
        <f aca="false">F469*0.9</f>
        <v>5.4</v>
      </c>
      <c r="AI469" s="9" t="n">
        <f aca="false">G469</f>
        <v>0.67</v>
      </c>
      <c r="AJ469" s="9" t="n">
        <f aca="false">H469*1.2</f>
        <v>21.6</v>
      </c>
      <c r="AK469" s="8" t="n">
        <f aca="false">I469</f>
        <v>0</v>
      </c>
      <c r="AL469" s="8" t="n">
        <f aca="false">J469</f>
        <v>1</v>
      </c>
      <c r="AM469" s="9" t="n">
        <f aca="false">K469</f>
        <v>0.12</v>
      </c>
      <c r="AN469" s="6" t="n">
        <f aca="false">$R$2 + SUMPRODUCT(AD469:AM469,$S$2:$AB$2)</f>
        <v>0.0254476570000008</v>
      </c>
      <c r="AO469" s="6" t="n">
        <f aca="false">1/(1+EXP(-AN469))</f>
        <v>0.506361570949808</v>
      </c>
    </row>
    <row r="470" customFormat="false" ht="15" hidden="false" customHeight="false" outlineLevel="0" collapsed="false">
      <c r="A470" s="3" t="s">
        <v>534</v>
      </c>
      <c r="B470" s="4" t="n">
        <v>49</v>
      </c>
      <c r="C470" s="4" t="n">
        <v>60500</v>
      </c>
      <c r="D470" s="4" t="n">
        <v>4</v>
      </c>
      <c r="E470" s="5" t="n">
        <v>119.6</v>
      </c>
      <c r="F470" s="4" t="n">
        <v>6</v>
      </c>
      <c r="G470" s="5" t="n">
        <v>0.11</v>
      </c>
      <c r="H470" s="4" t="n">
        <v>295</v>
      </c>
      <c r="I470" s="4" t="n">
        <v>0</v>
      </c>
      <c r="J470" s="4" t="n">
        <v>1</v>
      </c>
      <c r="K470" s="5" t="n">
        <v>0.52</v>
      </c>
      <c r="L470" s="4" t="n">
        <v>0</v>
      </c>
      <c r="M470" s="6" t="n">
        <f aca="false">$R$2 + SUMPRODUCT(B470:K470,$S$2:$AB$2)</f>
        <v>-0.54612523</v>
      </c>
      <c r="N470" s="6" t="n">
        <f aca="false">1/(1+EXP(-M470))</f>
        <v>0.366763851600002</v>
      </c>
      <c r="O470" s="6" t="n">
        <f aca="false">IF(L470=1,N470,1-N470)</f>
        <v>0.633236148399998</v>
      </c>
      <c r="P470" s="6" t="n">
        <f aca="false">LN(O470)</f>
        <v>-0.456911864165095</v>
      </c>
      <c r="AD470" s="8" t="n">
        <f aca="false">B470</f>
        <v>49</v>
      </c>
      <c r="AE470" s="8" t="n">
        <f aca="false">C470</f>
        <v>60500</v>
      </c>
      <c r="AF470" s="8" t="n">
        <f aca="false">D470</f>
        <v>4</v>
      </c>
      <c r="AG470" s="9" t="n">
        <f aca="false">E470*0.85</f>
        <v>101.66</v>
      </c>
      <c r="AH470" s="9" t="n">
        <f aca="false">F470*0.9</f>
        <v>5.4</v>
      </c>
      <c r="AI470" s="9" t="n">
        <f aca="false">G470</f>
        <v>0.11</v>
      </c>
      <c r="AJ470" s="9" t="n">
        <f aca="false">H470*1.2</f>
        <v>354</v>
      </c>
      <c r="AK470" s="8" t="n">
        <f aca="false">I470</f>
        <v>0</v>
      </c>
      <c r="AL470" s="8" t="n">
        <f aca="false">J470</f>
        <v>1</v>
      </c>
      <c r="AM470" s="9" t="n">
        <f aca="false">K470</f>
        <v>0.52</v>
      </c>
      <c r="AN470" s="6" t="n">
        <f aca="false">$R$2 + SUMPRODUCT(AD470:AM470,$S$2:$AB$2)</f>
        <v>-1.19647305</v>
      </c>
      <c r="AO470" s="6" t="n">
        <f aca="false">1/(1+EXP(-AN470))</f>
        <v>0.232103235427482</v>
      </c>
    </row>
    <row r="471" customFormat="false" ht="15" hidden="false" customHeight="false" outlineLevel="0" collapsed="false">
      <c r="A471" s="3" t="s">
        <v>535</v>
      </c>
      <c r="B471" s="4" t="n">
        <v>69</v>
      </c>
      <c r="C471" s="4" t="n">
        <v>24200</v>
      </c>
      <c r="D471" s="4" t="n">
        <v>6</v>
      </c>
      <c r="E471" s="5" t="n">
        <v>79.26</v>
      </c>
      <c r="F471" s="4" t="n">
        <v>4</v>
      </c>
      <c r="G471" s="5" t="n">
        <v>0.47</v>
      </c>
      <c r="H471" s="4" t="n">
        <v>271</v>
      </c>
      <c r="I471" s="4" t="n">
        <v>0</v>
      </c>
      <c r="J471" s="4" t="n">
        <v>1</v>
      </c>
      <c r="K471" s="5" t="n">
        <v>0.33</v>
      </c>
      <c r="L471" s="4" t="n">
        <v>0</v>
      </c>
      <c r="M471" s="6" t="n">
        <f aca="false">$R$2 + SUMPRODUCT(B471:K471,$S$2:$AB$2)</f>
        <v>-1.49144916</v>
      </c>
      <c r="N471" s="6" t="n">
        <f aca="false">1/(1+EXP(-M471))</f>
        <v>0.183704316059667</v>
      </c>
      <c r="O471" s="6" t="n">
        <f aca="false">IF(L471=1,N471,1-N471)</f>
        <v>0.816295683940334</v>
      </c>
      <c r="P471" s="6" t="n">
        <f aca="false">LN(O471)</f>
        <v>-0.202978631883735</v>
      </c>
      <c r="AD471" s="8" t="n">
        <f aca="false">B471</f>
        <v>69</v>
      </c>
      <c r="AE471" s="8" t="n">
        <f aca="false">C471</f>
        <v>24200</v>
      </c>
      <c r="AF471" s="8" t="n">
        <f aca="false">D471</f>
        <v>6</v>
      </c>
      <c r="AG471" s="9" t="n">
        <f aca="false">E471*0.85</f>
        <v>67.371</v>
      </c>
      <c r="AH471" s="9" t="n">
        <f aca="false">F471*0.9</f>
        <v>3.6</v>
      </c>
      <c r="AI471" s="9" t="n">
        <f aca="false">G471</f>
        <v>0.47</v>
      </c>
      <c r="AJ471" s="9" t="n">
        <f aca="false">H471*1.2</f>
        <v>325.2</v>
      </c>
      <c r="AK471" s="8" t="n">
        <f aca="false">I471</f>
        <v>0</v>
      </c>
      <c r="AL471" s="8" t="n">
        <f aca="false">J471</f>
        <v>1</v>
      </c>
      <c r="AM471" s="9" t="n">
        <f aca="false">K471</f>
        <v>0.33</v>
      </c>
      <c r="AN471" s="6" t="n">
        <f aca="false">$R$2 + SUMPRODUCT(AD471:AM471,$S$2:$AB$2)</f>
        <v>-2.009662897</v>
      </c>
      <c r="AO471" s="6" t="n">
        <f aca="false">1/(1+EXP(-AN471))</f>
        <v>0.118192107083429</v>
      </c>
    </row>
    <row r="472" customFormat="false" ht="15" hidden="false" customHeight="false" outlineLevel="0" collapsed="false">
      <c r="A472" s="3" t="s">
        <v>536</v>
      </c>
      <c r="B472" s="4" t="n">
        <v>47</v>
      </c>
      <c r="C472" s="4" t="n">
        <v>30700</v>
      </c>
      <c r="D472" s="4" t="n">
        <v>9</v>
      </c>
      <c r="E472" s="5" t="n">
        <v>50.48</v>
      </c>
      <c r="F472" s="4" t="n">
        <v>2</v>
      </c>
      <c r="G472" s="5" t="n">
        <v>0.78</v>
      </c>
      <c r="H472" s="4" t="n">
        <v>53</v>
      </c>
      <c r="I472" s="4" t="n">
        <v>0</v>
      </c>
      <c r="J472" s="4" t="n">
        <v>0</v>
      </c>
      <c r="K472" s="5" t="n">
        <v>0.08</v>
      </c>
      <c r="L472" s="4" t="n">
        <v>0</v>
      </c>
      <c r="M472" s="6" t="n">
        <f aca="false">$R$2 + SUMPRODUCT(B472:K472,$S$2:$AB$2)</f>
        <v>-0.28718014</v>
      </c>
      <c r="N472" s="6" t="n">
        <f aca="false">1/(1+EXP(-M472))</f>
        <v>0.428694355209142</v>
      </c>
      <c r="O472" s="6" t="n">
        <f aca="false">IF(L472=1,N472,1-N472)</f>
        <v>0.571305644790858</v>
      </c>
      <c r="P472" s="6" t="n">
        <f aca="false">LN(O472)</f>
        <v>-0.559830932693395</v>
      </c>
      <c r="AD472" s="8" t="n">
        <f aca="false">B472</f>
        <v>47</v>
      </c>
      <c r="AE472" s="8" t="n">
        <f aca="false">C472</f>
        <v>30700</v>
      </c>
      <c r="AF472" s="8" t="n">
        <f aca="false">D472</f>
        <v>9</v>
      </c>
      <c r="AG472" s="9" t="n">
        <f aca="false">E472*0.85</f>
        <v>42.908</v>
      </c>
      <c r="AH472" s="9" t="n">
        <f aca="false">F472*0.9</f>
        <v>1.8</v>
      </c>
      <c r="AI472" s="9" t="n">
        <f aca="false">G472</f>
        <v>0.78</v>
      </c>
      <c r="AJ472" s="9" t="n">
        <f aca="false">H472*1.2</f>
        <v>63.6</v>
      </c>
      <c r="AK472" s="8" t="n">
        <f aca="false">I472</f>
        <v>0</v>
      </c>
      <c r="AL472" s="8" t="n">
        <f aca="false">J472</f>
        <v>0</v>
      </c>
      <c r="AM472" s="9" t="n">
        <f aca="false">K472</f>
        <v>0.08</v>
      </c>
      <c r="AN472" s="6" t="n">
        <f aca="false">$R$2 + SUMPRODUCT(AD472:AM472,$S$2:$AB$2)</f>
        <v>-0.473142216</v>
      </c>
      <c r="AO472" s="6" t="n">
        <f aca="false">1/(1+EXP(-AN472))</f>
        <v>0.383872793380158</v>
      </c>
    </row>
    <row r="473" customFormat="false" ht="15" hidden="false" customHeight="false" outlineLevel="0" collapsed="false">
      <c r="A473" s="3" t="s">
        <v>537</v>
      </c>
      <c r="B473" s="4" t="n">
        <v>64</v>
      </c>
      <c r="C473" s="4" t="n">
        <v>68400</v>
      </c>
      <c r="D473" s="4" t="n">
        <v>7</v>
      </c>
      <c r="E473" s="5" t="n">
        <v>49.72</v>
      </c>
      <c r="F473" s="4" t="n">
        <v>3</v>
      </c>
      <c r="G473" s="5" t="n">
        <v>0.27</v>
      </c>
      <c r="H473" s="4" t="n">
        <v>294</v>
      </c>
      <c r="I473" s="4" t="n">
        <v>1</v>
      </c>
      <c r="J473" s="4" t="n">
        <v>1</v>
      </c>
      <c r="K473" s="5" t="n">
        <v>0.67</v>
      </c>
      <c r="L473" s="4" t="n">
        <v>1</v>
      </c>
      <c r="M473" s="6" t="n">
        <f aca="false">$R$2 + SUMPRODUCT(B473:K473,$S$2:$AB$2)</f>
        <v>-0.09118096</v>
      </c>
      <c r="N473" s="6" t="n">
        <f aca="false">1/(1+EXP(-M473))</f>
        <v>0.477220540120901</v>
      </c>
      <c r="O473" s="6" t="n">
        <f aca="false">IF(L473=1,N473,1-N473)</f>
        <v>0.477220540120901</v>
      </c>
      <c r="P473" s="6" t="n">
        <f aca="false">LN(O473)</f>
        <v>-0.739776546681973</v>
      </c>
      <c r="AD473" s="8" t="n">
        <f aca="false">B473</f>
        <v>64</v>
      </c>
      <c r="AE473" s="8" t="n">
        <f aca="false">C473</f>
        <v>68400</v>
      </c>
      <c r="AF473" s="8" t="n">
        <f aca="false">D473</f>
        <v>7</v>
      </c>
      <c r="AG473" s="9" t="n">
        <f aca="false">E473*0.85</f>
        <v>42.262</v>
      </c>
      <c r="AH473" s="9" t="n">
        <f aca="false">F473*0.9</f>
        <v>2.7</v>
      </c>
      <c r="AI473" s="9" t="n">
        <f aca="false">G473</f>
        <v>0.27</v>
      </c>
      <c r="AJ473" s="9" t="n">
        <f aca="false">H473*1.2</f>
        <v>352.8</v>
      </c>
      <c r="AK473" s="8" t="n">
        <f aca="false">I473</f>
        <v>1</v>
      </c>
      <c r="AL473" s="8" t="n">
        <f aca="false">J473</f>
        <v>1</v>
      </c>
      <c r="AM473" s="9" t="n">
        <f aca="false">K473</f>
        <v>0.67</v>
      </c>
      <c r="AN473" s="6" t="n">
        <f aca="false">$R$2 + SUMPRODUCT(AD473:AM473,$S$2:$AB$2)</f>
        <v>-0.564753574</v>
      </c>
      <c r="AO473" s="6" t="n">
        <f aca="false">1/(1+EXP(-AN473))</f>
        <v>0.362448289451162</v>
      </c>
    </row>
    <row r="474" customFormat="false" ht="15" hidden="false" customHeight="false" outlineLevel="0" collapsed="false">
      <c r="A474" s="3" t="s">
        <v>538</v>
      </c>
      <c r="B474" s="4" t="n">
        <v>52</v>
      </c>
      <c r="C474" s="4" t="n">
        <v>58100</v>
      </c>
      <c r="D474" s="4" t="n">
        <v>5</v>
      </c>
      <c r="E474" s="5" t="n">
        <v>62.68</v>
      </c>
      <c r="F474" s="4" t="n">
        <v>5</v>
      </c>
      <c r="G474" s="5" t="n">
        <v>0.47</v>
      </c>
      <c r="H474" s="4" t="n">
        <v>52</v>
      </c>
      <c r="I474" s="4" t="n">
        <v>0</v>
      </c>
      <c r="J474" s="4" t="n">
        <v>1</v>
      </c>
      <c r="K474" s="5" t="n">
        <v>0.17</v>
      </c>
      <c r="L474" s="4" t="n">
        <v>1</v>
      </c>
      <c r="M474" s="6" t="n">
        <f aca="false">$R$2 + SUMPRODUCT(B474:K474,$S$2:$AB$2)</f>
        <v>0.26727342</v>
      </c>
      <c r="N474" s="6" t="n">
        <f aca="false">1/(1+EXP(-M474))</f>
        <v>0.566423411492056</v>
      </c>
      <c r="O474" s="6" t="n">
        <f aca="false">IF(L474=1,N474,1-N474)</f>
        <v>0.566423411492056</v>
      </c>
      <c r="P474" s="6" t="n">
        <f aca="false">LN(O474)</f>
        <v>-0.568413403607878</v>
      </c>
      <c r="AD474" s="8" t="n">
        <f aca="false">B474</f>
        <v>52</v>
      </c>
      <c r="AE474" s="8" t="n">
        <f aca="false">C474</f>
        <v>58100</v>
      </c>
      <c r="AF474" s="8" t="n">
        <f aca="false">D474</f>
        <v>5</v>
      </c>
      <c r="AG474" s="9" t="n">
        <f aca="false">E474*0.85</f>
        <v>53.278</v>
      </c>
      <c r="AH474" s="9" t="n">
        <f aca="false">F474*0.9</f>
        <v>4.5</v>
      </c>
      <c r="AI474" s="9" t="n">
        <f aca="false">G474</f>
        <v>0.47</v>
      </c>
      <c r="AJ474" s="9" t="n">
        <f aca="false">H474*1.2</f>
        <v>62.4</v>
      </c>
      <c r="AK474" s="8" t="n">
        <f aca="false">I474</f>
        <v>0</v>
      </c>
      <c r="AL474" s="8" t="n">
        <f aca="false">J474</f>
        <v>1</v>
      </c>
      <c r="AM474" s="9" t="n">
        <f aca="false">K474</f>
        <v>0.17</v>
      </c>
      <c r="AN474" s="6" t="n">
        <f aca="false">$R$2 + SUMPRODUCT(AD474:AM474,$S$2:$AB$2)</f>
        <v>0.0230616540000002</v>
      </c>
      <c r="AO474" s="6" t="n">
        <f aca="false">1/(1+EXP(-AN474))</f>
        <v>0.505765157990518</v>
      </c>
    </row>
    <row r="475" customFormat="false" ht="15" hidden="false" customHeight="false" outlineLevel="0" collapsed="false">
      <c r="A475" s="3" t="s">
        <v>539</v>
      </c>
      <c r="B475" s="4" t="n">
        <v>57</v>
      </c>
      <c r="C475" s="4" t="n">
        <v>51700</v>
      </c>
      <c r="D475" s="4" t="n">
        <v>6</v>
      </c>
      <c r="E475" s="5" t="n">
        <v>59.01</v>
      </c>
      <c r="F475" s="4" t="n">
        <v>3</v>
      </c>
      <c r="G475" s="5" t="n">
        <v>0.39</v>
      </c>
      <c r="H475" s="4" t="n">
        <v>216</v>
      </c>
      <c r="I475" s="4" t="n">
        <v>0</v>
      </c>
      <c r="J475" s="4" t="n">
        <v>1</v>
      </c>
      <c r="K475" s="5" t="n">
        <v>0.35</v>
      </c>
      <c r="L475" s="4" t="n">
        <v>0</v>
      </c>
      <c r="M475" s="6" t="n">
        <f aca="false">$R$2 + SUMPRODUCT(B475:K475,$S$2:$AB$2)</f>
        <v>-0.90129343</v>
      </c>
      <c r="N475" s="6" t="n">
        <f aca="false">1/(1+EXP(-M475))</f>
        <v>0.288784769652904</v>
      </c>
      <c r="O475" s="6" t="n">
        <f aca="false">IF(L475=1,N475,1-N475)</f>
        <v>0.711215230347096</v>
      </c>
      <c r="P475" s="6" t="n">
        <f aca="false">LN(O475)</f>
        <v>-0.340780180013011</v>
      </c>
      <c r="AD475" s="8" t="n">
        <f aca="false">B475</f>
        <v>57</v>
      </c>
      <c r="AE475" s="8" t="n">
        <f aca="false">C475</f>
        <v>51700</v>
      </c>
      <c r="AF475" s="8" t="n">
        <f aca="false">D475</f>
        <v>6</v>
      </c>
      <c r="AG475" s="9" t="n">
        <f aca="false">E475*0.85</f>
        <v>50.1585</v>
      </c>
      <c r="AH475" s="9" t="n">
        <f aca="false">F475*0.9</f>
        <v>2.7</v>
      </c>
      <c r="AI475" s="9" t="n">
        <f aca="false">G475</f>
        <v>0.39</v>
      </c>
      <c r="AJ475" s="9" t="n">
        <f aca="false">H475*1.2</f>
        <v>259.2</v>
      </c>
      <c r="AK475" s="8" t="n">
        <f aca="false">I475</f>
        <v>0</v>
      </c>
      <c r="AL475" s="8" t="n">
        <f aca="false">J475</f>
        <v>1</v>
      </c>
      <c r="AM475" s="9" t="n">
        <f aca="false">K475</f>
        <v>0.35</v>
      </c>
      <c r="AN475" s="6" t="n">
        <f aca="false">$R$2 + SUMPRODUCT(AD475:AM475,$S$2:$AB$2)</f>
        <v>-1.3037601295</v>
      </c>
      <c r="AO475" s="6" t="n">
        <f aca="false">1/(1+EXP(-AN475))</f>
        <v>0.21353287347771</v>
      </c>
    </row>
    <row r="476" customFormat="false" ht="15" hidden="false" customHeight="false" outlineLevel="0" collapsed="false">
      <c r="A476" s="3" t="s">
        <v>540</v>
      </c>
      <c r="B476" s="4" t="n">
        <v>69</v>
      </c>
      <c r="C476" s="4" t="n">
        <v>55300</v>
      </c>
      <c r="D476" s="4" t="n">
        <v>5</v>
      </c>
      <c r="E476" s="5" t="n">
        <v>92.92</v>
      </c>
      <c r="F476" s="4" t="n">
        <v>1</v>
      </c>
      <c r="G476" s="5" t="n">
        <v>0.36</v>
      </c>
      <c r="H476" s="4" t="n">
        <v>72</v>
      </c>
      <c r="I476" s="4" t="n">
        <v>1</v>
      </c>
      <c r="J476" s="4" t="n">
        <v>0</v>
      </c>
      <c r="K476" s="5" t="n">
        <v>0.11</v>
      </c>
      <c r="L476" s="4" t="n">
        <v>0</v>
      </c>
      <c r="M476" s="6" t="n">
        <f aca="false">$R$2 + SUMPRODUCT(B476:K476,$S$2:$AB$2)</f>
        <v>-0.32076445</v>
      </c>
      <c r="N476" s="6" t="n">
        <f aca="false">1/(1+EXP(-M476))</f>
        <v>0.420489456833906</v>
      </c>
      <c r="O476" s="6" t="n">
        <f aca="false">IF(L476=1,N476,1-N476)</f>
        <v>0.579510543166094</v>
      </c>
      <c r="P476" s="6" t="n">
        <f aca="false">LN(O476)</f>
        <v>-0.545571422811156</v>
      </c>
      <c r="AD476" s="8" t="n">
        <f aca="false">B476</f>
        <v>69</v>
      </c>
      <c r="AE476" s="8" t="n">
        <f aca="false">C476</f>
        <v>55300</v>
      </c>
      <c r="AF476" s="8" t="n">
        <f aca="false">D476</f>
        <v>5</v>
      </c>
      <c r="AG476" s="9" t="n">
        <f aca="false">E476*0.85</f>
        <v>78.982</v>
      </c>
      <c r="AH476" s="9" t="n">
        <f aca="false">F476*0.9</f>
        <v>0.9</v>
      </c>
      <c r="AI476" s="9" t="n">
        <f aca="false">G476</f>
        <v>0.36</v>
      </c>
      <c r="AJ476" s="9" t="n">
        <f aca="false">H476*1.2</f>
        <v>86.4</v>
      </c>
      <c r="AK476" s="8" t="n">
        <f aca="false">I476</f>
        <v>1</v>
      </c>
      <c r="AL476" s="8" t="n">
        <f aca="false">J476</f>
        <v>0</v>
      </c>
      <c r="AM476" s="9" t="n">
        <f aca="false">K476</f>
        <v>0.11</v>
      </c>
      <c r="AN476" s="6" t="n">
        <f aca="false">$R$2 + SUMPRODUCT(AD476:AM476,$S$2:$AB$2)</f>
        <v>-0.602515104</v>
      </c>
      <c r="AO476" s="6" t="n">
        <f aca="false">1/(1+EXP(-AN476))</f>
        <v>0.353768488640197</v>
      </c>
    </row>
    <row r="477" customFormat="false" ht="15" hidden="false" customHeight="false" outlineLevel="0" collapsed="false">
      <c r="A477" s="3" t="s">
        <v>541</v>
      </c>
      <c r="B477" s="4" t="n">
        <v>33</v>
      </c>
      <c r="C477" s="4" t="n">
        <v>61300</v>
      </c>
      <c r="D477" s="4" t="n">
        <v>6</v>
      </c>
      <c r="E477" s="5" t="n">
        <v>69.66</v>
      </c>
      <c r="F477" s="4" t="n">
        <v>3</v>
      </c>
      <c r="G477" s="5" t="n">
        <v>0.59</v>
      </c>
      <c r="H477" s="4" t="n">
        <v>28</v>
      </c>
      <c r="I477" s="4" t="n">
        <v>0</v>
      </c>
      <c r="J477" s="4" t="n">
        <v>0</v>
      </c>
      <c r="K477" s="5" t="n">
        <v>0.34</v>
      </c>
      <c r="L477" s="4" t="n">
        <v>0</v>
      </c>
      <c r="M477" s="6" t="n">
        <f aca="false">$R$2 + SUMPRODUCT(B477:K477,$S$2:$AB$2)</f>
        <v>0.51120989</v>
      </c>
      <c r="N477" s="6" t="n">
        <f aca="false">1/(1+EXP(-M477))</f>
        <v>0.625090058071703</v>
      </c>
      <c r="O477" s="6" t="n">
        <f aca="false">IF(L477=1,N477,1-N477)</f>
        <v>0.374909941928297</v>
      </c>
      <c r="P477" s="6" t="n">
        <f aca="false">LN(O477)</f>
        <v>-0.981069436711397</v>
      </c>
      <c r="AD477" s="8" t="n">
        <f aca="false">B477</f>
        <v>33</v>
      </c>
      <c r="AE477" s="8" t="n">
        <f aca="false">C477</f>
        <v>61300</v>
      </c>
      <c r="AF477" s="8" t="n">
        <f aca="false">D477</f>
        <v>6</v>
      </c>
      <c r="AG477" s="9" t="n">
        <f aca="false">E477*0.85</f>
        <v>59.211</v>
      </c>
      <c r="AH477" s="9" t="n">
        <f aca="false">F477*0.9</f>
        <v>2.7</v>
      </c>
      <c r="AI477" s="9" t="n">
        <f aca="false">G477</f>
        <v>0.59</v>
      </c>
      <c r="AJ477" s="9" t="n">
        <f aca="false">H477*1.2</f>
        <v>33.6</v>
      </c>
      <c r="AK477" s="8" t="n">
        <f aca="false">I477</f>
        <v>0</v>
      </c>
      <c r="AL477" s="8" t="n">
        <f aca="false">J477</f>
        <v>0</v>
      </c>
      <c r="AM477" s="9" t="n">
        <f aca="false">K477</f>
        <v>0.34</v>
      </c>
      <c r="AN477" s="6" t="n">
        <f aca="false">$R$2 + SUMPRODUCT(AD477:AM477,$S$2:$AB$2)</f>
        <v>0.303784773</v>
      </c>
      <c r="AO477" s="6" t="n">
        <f aca="false">1/(1+EXP(-AN477))</f>
        <v>0.575367474320288</v>
      </c>
    </row>
    <row r="478" customFormat="false" ht="15" hidden="false" customHeight="false" outlineLevel="0" collapsed="false">
      <c r="A478" s="3" t="s">
        <v>542</v>
      </c>
      <c r="B478" s="4" t="n">
        <v>30</v>
      </c>
      <c r="C478" s="4" t="n">
        <v>45300</v>
      </c>
      <c r="D478" s="4" t="n">
        <v>6</v>
      </c>
      <c r="E478" s="5" t="n">
        <v>46.71</v>
      </c>
      <c r="F478" s="4" t="n">
        <v>4</v>
      </c>
      <c r="G478" s="5" t="n">
        <v>0.87</v>
      </c>
      <c r="H478" s="4" t="n">
        <v>252</v>
      </c>
      <c r="I478" s="4" t="n">
        <v>0</v>
      </c>
      <c r="J478" s="4" t="n">
        <v>1</v>
      </c>
      <c r="K478" s="5" t="n">
        <v>0.36</v>
      </c>
      <c r="L478" s="4" t="n">
        <v>0</v>
      </c>
      <c r="M478" s="6" t="n">
        <f aca="false">$R$2 + SUMPRODUCT(B478:K478,$S$2:$AB$2)</f>
        <v>-0.18950492</v>
      </c>
      <c r="N478" s="6" t="n">
        <f aca="false">1/(1+EXP(-M478))</f>
        <v>0.45276504439263</v>
      </c>
      <c r="O478" s="6" t="n">
        <f aca="false">IF(L478=1,N478,1-N478)</f>
        <v>0.54723495560737</v>
      </c>
      <c r="P478" s="6" t="n">
        <f aca="false">LN(O478)</f>
        <v>-0.60287703385267</v>
      </c>
      <c r="AD478" s="8" t="n">
        <f aca="false">B478</f>
        <v>30</v>
      </c>
      <c r="AE478" s="8" t="n">
        <f aca="false">C478</f>
        <v>45300</v>
      </c>
      <c r="AF478" s="8" t="n">
        <f aca="false">D478</f>
        <v>6</v>
      </c>
      <c r="AG478" s="9" t="n">
        <f aca="false">E478*0.85</f>
        <v>39.7035</v>
      </c>
      <c r="AH478" s="9" t="n">
        <f aca="false">F478*0.9</f>
        <v>3.6</v>
      </c>
      <c r="AI478" s="9" t="n">
        <f aca="false">G478</f>
        <v>0.87</v>
      </c>
      <c r="AJ478" s="9" t="n">
        <f aca="false">H478*1.2</f>
        <v>302.4</v>
      </c>
      <c r="AK478" s="8" t="n">
        <f aca="false">I478</f>
        <v>0</v>
      </c>
      <c r="AL478" s="8" t="n">
        <f aca="false">J478</f>
        <v>1</v>
      </c>
      <c r="AM478" s="9" t="n">
        <f aca="false">K478</f>
        <v>0.36</v>
      </c>
      <c r="AN478" s="6" t="n">
        <f aca="false">$R$2 + SUMPRODUCT(AD478:AM478,$S$2:$AB$2)</f>
        <v>-0.6202516345</v>
      </c>
      <c r="AO478" s="6" t="n">
        <f aca="false">1/(1+EXP(-AN478))</f>
        <v>0.349724223251287</v>
      </c>
    </row>
    <row r="479" customFormat="false" ht="15" hidden="false" customHeight="false" outlineLevel="0" collapsed="false">
      <c r="A479" s="3" t="s">
        <v>543</v>
      </c>
      <c r="B479" s="4" t="n">
        <v>67</v>
      </c>
      <c r="C479" s="4" t="n">
        <v>41000</v>
      </c>
      <c r="D479" s="4" t="n">
        <v>9</v>
      </c>
      <c r="E479" s="5" t="n">
        <v>112.26</v>
      </c>
      <c r="F479" s="4" t="n">
        <v>4</v>
      </c>
      <c r="G479" s="5" t="n">
        <v>0.31</v>
      </c>
      <c r="H479" s="4" t="n">
        <v>35</v>
      </c>
      <c r="I479" s="4" t="n">
        <v>0</v>
      </c>
      <c r="J479" s="4" t="n">
        <v>0</v>
      </c>
      <c r="K479" s="5" t="n">
        <v>0.3</v>
      </c>
      <c r="L479" s="4" t="n">
        <v>0</v>
      </c>
      <c r="M479" s="6" t="n">
        <f aca="false">$R$2 + SUMPRODUCT(B479:K479,$S$2:$AB$2)</f>
        <v>0.359288490000001</v>
      </c>
      <c r="N479" s="6" t="n">
        <f aca="false">1/(1+EXP(-M479))</f>
        <v>0.588868186646312</v>
      </c>
      <c r="O479" s="6" t="n">
        <f aca="false">IF(L479=1,N479,1-N479)</f>
        <v>0.411131813353688</v>
      </c>
      <c r="P479" s="6" t="n">
        <f aca="false">LN(O479)</f>
        <v>-0.888841402147633</v>
      </c>
      <c r="AD479" s="8" t="n">
        <f aca="false">B479</f>
        <v>67</v>
      </c>
      <c r="AE479" s="8" t="n">
        <f aca="false">C479</f>
        <v>41000</v>
      </c>
      <c r="AF479" s="8" t="n">
        <f aca="false">D479</f>
        <v>9</v>
      </c>
      <c r="AG479" s="9" t="n">
        <f aca="false">E479*0.85</f>
        <v>95.421</v>
      </c>
      <c r="AH479" s="9" t="n">
        <f aca="false">F479*0.9</f>
        <v>3.6</v>
      </c>
      <c r="AI479" s="9" t="n">
        <f aca="false">G479</f>
        <v>0.31</v>
      </c>
      <c r="AJ479" s="9" t="n">
        <f aca="false">H479*1.2</f>
        <v>42</v>
      </c>
      <c r="AK479" s="8" t="n">
        <f aca="false">I479</f>
        <v>0</v>
      </c>
      <c r="AL479" s="8" t="n">
        <f aca="false">J479</f>
        <v>0</v>
      </c>
      <c r="AM479" s="9" t="n">
        <f aca="false">K479</f>
        <v>0.3</v>
      </c>
      <c r="AN479" s="6" t="n">
        <f aca="false">$R$2 + SUMPRODUCT(AD479:AM479,$S$2:$AB$2)</f>
        <v>0.0463590030000001</v>
      </c>
      <c r="AO479" s="6" t="n">
        <f aca="false">1/(1+EXP(-AN479))</f>
        <v>0.511587675513017</v>
      </c>
    </row>
    <row r="480" customFormat="false" ht="15" hidden="false" customHeight="false" outlineLevel="0" collapsed="false">
      <c r="A480" s="3" t="s">
        <v>544</v>
      </c>
      <c r="B480" s="4" t="n">
        <v>59</v>
      </c>
      <c r="C480" s="4" t="n">
        <v>58500</v>
      </c>
      <c r="D480" s="4" t="n">
        <v>4</v>
      </c>
      <c r="E480" s="5" t="n">
        <v>66.23</v>
      </c>
      <c r="F480" s="4" t="n">
        <v>5</v>
      </c>
      <c r="G480" s="5" t="n">
        <v>0.75</v>
      </c>
      <c r="H480" s="4" t="n">
        <v>201</v>
      </c>
      <c r="I480" s="4" t="n">
        <v>1</v>
      </c>
      <c r="J480" s="4" t="n">
        <v>1</v>
      </c>
      <c r="K480" s="5" t="n">
        <v>0.45</v>
      </c>
      <c r="L480" s="4" t="n">
        <v>1</v>
      </c>
      <c r="M480" s="6" t="n">
        <f aca="false">$R$2 + SUMPRODUCT(B480:K480,$S$2:$AB$2)</f>
        <v>0.70313269</v>
      </c>
      <c r="N480" s="6" t="n">
        <f aca="false">1/(1+EXP(-M480))</f>
        <v>0.668881963545826</v>
      </c>
      <c r="O480" s="6" t="n">
        <f aca="false">IF(L480=1,N480,1-N480)</f>
        <v>0.668881963545826</v>
      </c>
      <c r="P480" s="6" t="n">
        <f aca="false">LN(O480)</f>
        <v>-0.402147671572005</v>
      </c>
      <c r="AD480" s="8" t="n">
        <f aca="false">B480</f>
        <v>59</v>
      </c>
      <c r="AE480" s="8" t="n">
        <f aca="false">C480</f>
        <v>58500</v>
      </c>
      <c r="AF480" s="8" t="n">
        <f aca="false">D480</f>
        <v>4</v>
      </c>
      <c r="AG480" s="9" t="n">
        <f aca="false">E480*0.85</f>
        <v>56.2955</v>
      </c>
      <c r="AH480" s="9" t="n">
        <f aca="false">F480*0.9</f>
        <v>4.5</v>
      </c>
      <c r="AI480" s="9" t="n">
        <f aca="false">G480</f>
        <v>0.75</v>
      </c>
      <c r="AJ480" s="9" t="n">
        <f aca="false">H480*1.2</f>
        <v>241.2</v>
      </c>
      <c r="AK480" s="8" t="n">
        <f aca="false">I480</f>
        <v>1</v>
      </c>
      <c r="AL480" s="8" t="n">
        <f aca="false">J480</f>
        <v>1</v>
      </c>
      <c r="AM480" s="9" t="n">
        <f aca="false">K480</f>
        <v>0.45</v>
      </c>
      <c r="AN480" s="6" t="n">
        <f aca="false">$R$2 + SUMPRODUCT(AD480:AM480,$S$2:$AB$2)</f>
        <v>0.2801794515</v>
      </c>
      <c r="AO480" s="6" t="n">
        <f aca="false">1/(1+EXP(-AN480))</f>
        <v>0.569590218316064</v>
      </c>
    </row>
    <row r="481" customFormat="false" ht="15" hidden="false" customHeight="false" outlineLevel="0" collapsed="false">
      <c r="A481" s="3" t="s">
        <v>545</v>
      </c>
      <c r="B481" s="4" t="n">
        <v>47</v>
      </c>
      <c r="C481" s="4" t="n">
        <v>37400</v>
      </c>
      <c r="D481" s="4" t="n">
        <v>7</v>
      </c>
      <c r="E481" s="5" t="n">
        <v>84.22</v>
      </c>
      <c r="F481" s="4" t="n">
        <v>4</v>
      </c>
      <c r="G481" s="5" t="n">
        <v>0.27</v>
      </c>
      <c r="H481" s="4" t="n">
        <v>249</v>
      </c>
      <c r="I481" s="4" t="n">
        <v>0</v>
      </c>
      <c r="J481" s="4" t="n">
        <v>1</v>
      </c>
      <c r="K481" s="5" t="n">
        <v>0.29</v>
      </c>
      <c r="L481" s="4" t="n">
        <v>1</v>
      </c>
      <c r="M481" s="6" t="n">
        <f aca="false">$R$2 + SUMPRODUCT(B481:K481,$S$2:$AB$2)</f>
        <v>-0.927734</v>
      </c>
      <c r="N481" s="6" t="n">
        <f aca="false">1/(1+EXP(-M481))</f>
        <v>0.283384662829482</v>
      </c>
      <c r="O481" s="6" t="n">
        <f aca="false">IF(L481=1,N481,1-N481)</f>
        <v>0.283384662829482</v>
      </c>
      <c r="P481" s="6" t="n">
        <f aca="false">LN(O481)</f>
        <v>-1.26095007164632</v>
      </c>
      <c r="AD481" s="8" t="n">
        <f aca="false">B481</f>
        <v>47</v>
      </c>
      <c r="AE481" s="8" t="n">
        <f aca="false">C481</f>
        <v>37400</v>
      </c>
      <c r="AF481" s="8" t="n">
        <f aca="false">D481</f>
        <v>7</v>
      </c>
      <c r="AG481" s="9" t="n">
        <f aca="false">E481*0.85</f>
        <v>71.587</v>
      </c>
      <c r="AH481" s="9" t="n">
        <f aca="false">F481*0.9</f>
        <v>3.6</v>
      </c>
      <c r="AI481" s="9" t="n">
        <f aca="false">G481</f>
        <v>0.27</v>
      </c>
      <c r="AJ481" s="9" t="n">
        <f aca="false">H481*1.2</f>
        <v>298.8</v>
      </c>
      <c r="AK481" s="8" t="n">
        <f aca="false">I481</f>
        <v>0</v>
      </c>
      <c r="AL481" s="8" t="n">
        <f aca="false">J481</f>
        <v>1</v>
      </c>
      <c r="AM481" s="9" t="n">
        <f aca="false">K481</f>
        <v>0.29</v>
      </c>
      <c r="AN481" s="6" t="n">
        <f aca="false">$R$2 + SUMPRODUCT(AD481:AM481,$S$2:$AB$2)</f>
        <v>-1.430606689</v>
      </c>
      <c r="AO481" s="6" t="n">
        <f aca="false">1/(1+EXP(-AN481))</f>
        <v>0.193004172660467</v>
      </c>
    </row>
    <row r="482" customFormat="false" ht="15" hidden="false" customHeight="false" outlineLevel="0" collapsed="false">
      <c r="A482" s="3" t="s">
        <v>546</v>
      </c>
      <c r="B482" s="4" t="n">
        <v>36</v>
      </c>
      <c r="C482" s="4" t="n">
        <v>62300</v>
      </c>
      <c r="D482" s="4" t="n">
        <v>5</v>
      </c>
      <c r="E482" s="5" t="n">
        <v>49.79</v>
      </c>
      <c r="F482" s="4" t="n">
        <v>1</v>
      </c>
      <c r="G482" s="5" t="n">
        <v>0.62</v>
      </c>
      <c r="H482" s="4" t="n">
        <v>99</v>
      </c>
      <c r="I482" s="4" t="n">
        <v>1</v>
      </c>
      <c r="J482" s="4" t="n">
        <v>0</v>
      </c>
      <c r="K482" s="5" t="n">
        <v>0.11</v>
      </c>
      <c r="L482" s="4" t="n">
        <v>0</v>
      </c>
      <c r="M482" s="6" t="n">
        <f aca="false">$R$2 + SUMPRODUCT(B482:K482,$S$2:$AB$2)</f>
        <v>-0.0846902799999993</v>
      </c>
      <c r="N482" s="6" t="n">
        <f aca="false">1/(1+EXP(-M482))</f>
        <v>0.478840075851798</v>
      </c>
      <c r="O482" s="6" t="n">
        <f aca="false">IF(L482=1,N482,1-N482)</f>
        <v>0.521159924148202</v>
      </c>
      <c r="P482" s="6" t="n">
        <f aca="false">LN(O482)</f>
        <v>-0.651698328191584</v>
      </c>
      <c r="AD482" s="8" t="n">
        <f aca="false">B482</f>
        <v>36</v>
      </c>
      <c r="AE482" s="8" t="n">
        <f aca="false">C482</f>
        <v>62300</v>
      </c>
      <c r="AF482" s="8" t="n">
        <f aca="false">D482</f>
        <v>5</v>
      </c>
      <c r="AG482" s="9" t="n">
        <f aca="false">E482*0.85</f>
        <v>42.3215</v>
      </c>
      <c r="AH482" s="9" t="n">
        <f aca="false">F482*0.9</f>
        <v>0.9</v>
      </c>
      <c r="AI482" s="9" t="n">
        <f aca="false">G482</f>
        <v>0.62</v>
      </c>
      <c r="AJ482" s="9" t="n">
        <f aca="false">H482*1.2</f>
        <v>118.8</v>
      </c>
      <c r="AK482" s="8" t="n">
        <f aca="false">I482</f>
        <v>1</v>
      </c>
      <c r="AL482" s="8" t="n">
        <f aca="false">J482</f>
        <v>0</v>
      </c>
      <c r="AM482" s="9" t="n">
        <f aca="false">K482</f>
        <v>0.11</v>
      </c>
      <c r="AN482" s="6" t="n">
        <f aca="false">$R$2 + SUMPRODUCT(AD482:AM482,$S$2:$AB$2)</f>
        <v>-0.310629340499999</v>
      </c>
      <c r="AO482" s="6" t="n">
        <f aca="false">1/(1+EXP(-AN482))</f>
        <v>0.422961131428426</v>
      </c>
    </row>
    <row r="483" customFormat="false" ht="15" hidden="false" customHeight="false" outlineLevel="0" collapsed="false">
      <c r="A483" s="3" t="s">
        <v>547</v>
      </c>
      <c r="B483" s="4" t="n">
        <v>34</v>
      </c>
      <c r="C483" s="4" t="n">
        <v>24400</v>
      </c>
      <c r="D483" s="4" t="n">
        <v>5</v>
      </c>
      <c r="E483" s="5" t="n">
        <v>74.08</v>
      </c>
      <c r="F483" s="4" t="n">
        <v>4</v>
      </c>
      <c r="G483" s="5" t="n">
        <v>0.55</v>
      </c>
      <c r="H483" s="4" t="n">
        <v>308</v>
      </c>
      <c r="I483" s="4" t="n">
        <v>0</v>
      </c>
      <c r="J483" s="4" t="n">
        <v>1</v>
      </c>
      <c r="K483" s="5" t="n">
        <v>0.28</v>
      </c>
      <c r="L483" s="4" t="n">
        <v>0</v>
      </c>
      <c r="M483" s="6" t="n">
        <f aca="false">$R$2 + SUMPRODUCT(B483:K483,$S$2:$AB$2)</f>
        <v>-1.47976607</v>
      </c>
      <c r="N483" s="6" t="n">
        <f aca="false">1/(1+EXP(-M483))</f>
        <v>0.185462755637468</v>
      </c>
      <c r="O483" s="6" t="n">
        <f aca="false">IF(L483=1,N483,1-N483)</f>
        <v>0.814537244362532</v>
      </c>
      <c r="P483" s="6" t="n">
        <f aca="false">LN(O483)</f>
        <v>-0.205135125327971</v>
      </c>
      <c r="AD483" s="8" t="n">
        <f aca="false">B483</f>
        <v>34</v>
      </c>
      <c r="AE483" s="8" t="n">
        <f aca="false">C483</f>
        <v>24400</v>
      </c>
      <c r="AF483" s="8" t="n">
        <f aca="false">D483</f>
        <v>5</v>
      </c>
      <c r="AG483" s="9" t="n">
        <f aca="false">E483*0.85</f>
        <v>62.968</v>
      </c>
      <c r="AH483" s="9" t="n">
        <f aca="false">F483*0.9</f>
        <v>3.6</v>
      </c>
      <c r="AI483" s="9" t="n">
        <f aca="false">G483</f>
        <v>0.55</v>
      </c>
      <c r="AJ483" s="9" t="n">
        <f aca="false">H483*1.2</f>
        <v>369.6</v>
      </c>
      <c r="AK483" s="8" t="n">
        <f aca="false">I483</f>
        <v>0</v>
      </c>
      <c r="AL483" s="8" t="n">
        <f aca="false">J483</f>
        <v>1</v>
      </c>
      <c r="AM483" s="9" t="n">
        <f aca="false">K483</f>
        <v>0.28</v>
      </c>
      <c r="AN483" s="6" t="n">
        <f aca="false">$R$2 + SUMPRODUCT(AD483:AM483,$S$2:$AB$2)</f>
        <v>-2.030151566</v>
      </c>
      <c r="AO483" s="6" t="n">
        <f aca="false">1/(1+EXP(-AN483))</f>
        <v>0.116073370440467</v>
      </c>
    </row>
    <row r="484" customFormat="false" ht="15" hidden="false" customHeight="false" outlineLevel="0" collapsed="false">
      <c r="A484" s="3" t="s">
        <v>548</v>
      </c>
      <c r="B484" s="4" t="n">
        <v>36</v>
      </c>
      <c r="C484" s="4" t="n">
        <v>73500</v>
      </c>
      <c r="D484" s="4" t="n">
        <v>7</v>
      </c>
      <c r="E484" s="5" t="n">
        <v>72.78</v>
      </c>
      <c r="F484" s="4" t="n">
        <v>2</v>
      </c>
      <c r="G484" s="5" t="n">
        <v>0.31</v>
      </c>
      <c r="H484" s="4" t="n">
        <v>140</v>
      </c>
      <c r="I484" s="4" t="n">
        <v>0</v>
      </c>
      <c r="J484" s="4" t="n">
        <v>0</v>
      </c>
      <c r="K484" s="5" t="n">
        <v>0.16</v>
      </c>
      <c r="L484" s="4" t="n">
        <v>1</v>
      </c>
      <c r="M484" s="6" t="n">
        <f aca="false">$R$2 + SUMPRODUCT(B484:K484,$S$2:$AB$2)</f>
        <v>-0.44036797</v>
      </c>
      <c r="N484" s="6" t="n">
        <f aca="false">1/(1+EXP(-M484))</f>
        <v>0.391653292862085</v>
      </c>
      <c r="O484" s="6" t="n">
        <f aca="false">IF(L484=1,N484,1-N484)</f>
        <v>0.391653292862085</v>
      </c>
      <c r="P484" s="6" t="n">
        <f aca="false">LN(O484)</f>
        <v>-0.937378287539009</v>
      </c>
      <c r="AD484" s="8" t="n">
        <f aca="false">B484</f>
        <v>36</v>
      </c>
      <c r="AE484" s="8" t="n">
        <f aca="false">C484</f>
        <v>73500</v>
      </c>
      <c r="AF484" s="8" t="n">
        <f aca="false">D484</f>
        <v>7</v>
      </c>
      <c r="AG484" s="9" t="n">
        <f aca="false">E484*0.85</f>
        <v>61.863</v>
      </c>
      <c r="AH484" s="9" t="n">
        <f aca="false">F484*0.9</f>
        <v>1.8</v>
      </c>
      <c r="AI484" s="9" t="n">
        <f aca="false">G484</f>
        <v>0.31</v>
      </c>
      <c r="AJ484" s="9" t="n">
        <f aca="false">H484*1.2</f>
        <v>168</v>
      </c>
      <c r="AK484" s="8" t="n">
        <f aca="false">I484</f>
        <v>0</v>
      </c>
      <c r="AL484" s="8" t="n">
        <f aca="false">J484</f>
        <v>0</v>
      </c>
      <c r="AM484" s="9" t="n">
        <f aca="false">K484</f>
        <v>0.16</v>
      </c>
      <c r="AN484" s="6" t="n">
        <f aca="false">$R$2 + SUMPRODUCT(AD484:AM484,$S$2:$AB$2)</f>
        <v>-0.771452631</v>
      </c>
      <c r="AO484" s="6" t="n">
        <f aca="false">1/(1+EXP(-AN484))</f>
        <v>0.316164956811044</v>
      </c>
    </row>
    <row r="485" customFormat="false" ht="15" hidden="false" customHeight="false" outlineLevel="0" collapsed="false">
      <c r="A485" s="3" t="s">
        <v>549</v>
      </c>
      <c r="B485" s="4" t="n">
        <v>45</v>
      </c>
      <c r="C485" s="4" t="n">
        <v>63500</v>
      </c>
      <c r="D485" s="4" t="n">
        <v>6</v>
      </c>
      <c r="E485" s="5" t="n">
        <v>17.76</v>
      </c>
      <c r="F485" s="4" t="n">
        <v>4</v>
      </c>
      <c r="G485" s="5" t="n">
        <v>0.44</v>
      </c>
      <c r="H485" s="4" t="n">
        <v>83</v>
      </c>
      <c r="I485" s="4" t="n">
        <v>0</v>
      </c>
      <c r="J485" s="4" t="n">
        <v>1</v>
      </c>
      <c r="K485" s="5" t="n">
        <v>0.37</v>
      </c>
      <c r="L485" s="4" t="n">
        <v>0</v>
      </c>
      <c r="M485" s="6" t="n">
        <f aca="false">$R$2 + SUMPRODUCT(B485:K485,$S$2:$AB$2)</f>
        <v>-0.0583894699999998</v>
      </c>
      <c r="N485" s="6" t="n">
        <f aca="false">1/(1+EXP(-M485))</f>
        <v>0.485406778357043</v>
      </c>
      <c r="O485" s="6" t="n">
        <f aca="false">IF(L485=1,N485,1-N485)</f>
        <v>0.514593221642957</v>
      </c>
      <c r="P485" s="6" t="n">
        <f aca="false">LN(O485)</f>
        <v>-0.66437855131033</v>
      </c>
      <c r="AD485" s="8" t="n">
        <f aca="false">B485</f>
        <v>45</v>
      </c>
      <c r="AE485" s="8" t="n">
        <f aca="false">C485</f>
        <v>63500</v>
      </c>
      <c r="AF485" s="8" t="n">
        <f aca="false">D485</f>
        <v>6</v>
      </c>
      <c r="AG485" s="9" t="n">
        <f aca="false">E485*0.85</f>
        <v>15.096</v>
      </c>
      <c r="AH485" s="9" t="n">
        <f aca="false">F485*0.9</f>
        <v>3.6</v>
      </c>
      <c r="AI485" s="9" t="n">
        <f aca="false">G485</f>
        <v>0.44</v>
      </c>
      <c r="AJ485" s="9" t="n">
        <f aca="false">H485*1.2</f>
        <v>99.6</v>
      </c>
      <c r="AK485" s="8" t="n">
        <f aca="false">I485</f>
        <v>0</v>
      </c>
      <c r="AL485" s="8" t="n">
        <f aca="false">J485</f>
        <v>1</v>
      </c>
      <c r="AM485" s="9" t="n">
        <f aca="false">K485</f>
        <v>0.37</v>
      </c>
      <c r="AN485" s="6" t="n">
        <f aca="false">$R$2 + SUMPRODUCT(AD485:AM485,$S$2:$AB$2)</f>
        <v>-0.236182982</v>
      </c>
      <c r="AO485" s="6" t="n">
        <f aca="false">1/(1+EXP(-AN485))</f>
        <v>0.441227208121217</v>
      </c>
    </row>
    <row r="486" customFormat="false" ht="15" hidden="false" customHeight="false" outlineLevel="0" collapsed="false">
      <c r="A486" s="3" t="s">
        <v>550</v>
      </c>
      <c r="B486" s="4" t="n">
        <v>43</v>
      </c>
      <c r="C486" s="4" t="n">
        <v>59600</v>
      </c>
      <c r="D486" s="4" t="n">
        <v>8</v>
      </c>
      <c r="E486" s="5" t="n">
        <v>115.38</v>
      </c>
      <c r="F486" s="4" t="n">
        <v>2</v>
      </c>
      <c r="G486" s="5" t="n">
        <v>0.72</v>
      </c>
      <c r="H486" s="4" t="n">
        <v>48</v>
      </c>
      <c r="I486" s="4" t="n">
        <v>1</v>
      </c>
      <c r="J486" s="4" t="n">
        <v>0</v>
      </c>
      <c r="K486" s="5" t="n">
        <v>0.41</v>
      </c>
      <c r="L486" s="4" t="n">
        <v>1</v>
      </c>
      <c r="M486" s="6" t="n">
        <f aca="false">$R$2 + SUMPRODUCT(B486:K486,$S$2:$AB$2)</f>
        <v>2.13734819</v>
      </c>
      <c r="N486" s="6" t="n">
        <f aca="false">1/(1+EXP(-M486))</f>
        <v>0.894480580900934</v>
      </c>
      <c r="O486" s="6" t="n">
        <f aca="false">IF(L486=1,N486,1-N486)</f>
        <v>0.894480580900934</v>
      </c>
      <c r="P486" s="6" t="n">
        <f aca="false">LN(O486)</f>
        <v>-0.111512085714591</v>
      </c>
      <c r="AD486" s="8" t="n">
        <f aca="false">B486</f>
        <v>43</v>
      </c>
      <c r="AE486" s="8" t="n">
        <f aca="false">C486</f>
        <v>59600</v>
      </c>
      <c r="AF486" s="8" t="n">
        <f aca="false">D486</f>
        <v>8</v>
      </c>
      <c r="AG486" s="9" t="n">
        <f aca="false">E486*0.85</f>
        <v>98.073</v>
      </c>
      <c r="AH486" s="9" t="n">
        <f aca="false">F486*0.9</f>
        <v>1.8</v>
      </c>
      <c r="AI486" s="9" t="n">
        <f aca="false">G486</f>
        <v>0.72</v>
      </c>
      <c r="AJ486" s="9" t="n">
        <f aca="false">H486*1.2</f>
        <v>57.6</v>
      </c>
      <c r="AK486" s="8" t="n">
        <f aca="false">I486</f>
        <v>1</v>
      </c>
      <c r="AL486" s="8" t="n">
        <f aca="false">J486</f>
        <v>0</v>
      </c>
      <c r="AM486" s="9" t="n">
        <f aca="false">K486</f>
        <v>0.41</v>
      </c>
      <c r="AN486" s="6" t="n">
        <f aca="false">$R$2 + SUMPRODUCT(AD486:AM486,$S$2:$AB$2)</f>
        <v>1.826373859</v>
      </c>
      <c r="AO486" s="6" t="n">
        <f aca="false">1/(1+EXP(-AN486))</f>
        <v>0.861329183323613</v>
      </c>
    </row>
    <row r="487" customFormat="false" ht="15" hidden="false" customHeight="false" outlineLevel="0" collapsed="false">
      <c r="A487" s="3" t="s">
        <v>551</v>
      </c>
      <c r="B487" s="4" t="n">
        <v>54</v>
      </c>
      <c r="C487" s="4" t="n">
        <v>72700</v>
      </c>
      <c r="D487" s="4" t="n">
        <v>5</v>
      </c>
      <c r="E487" s="5" t="n">
        <v>97.27</v>
      </c>
      <c r="F487" s="4" t="n">
        <v>3</v>
      </c>
      <c r="G487" s="5" t="n">
        <v>0.57</v>
      </c>
      <c r="H487" s="4" t="n">
        <v>278</v>
      </c>
      <c r="I487" s="4" t="n">
        <v>1</v>
      </c>
      <c r="J487" s="4" t="n">
        <v>1</v>
      </c>
      <c r="K487" s="5" t="n">
        <v>0.43</v>
      </c>
      <c r="L487" s="4" t="n">
        <v>0</v>
      </c>
      <c r="M487" s="6" t="n">
        <f aca="false">$R$2 + SUMPRODUCT(B487:K487,$S$2:$AB$2)</f>
        <v>0.69780757</v>
      </c>
      <c r="N487" s="6" t="n">
        <f aca="false">1/(1+EXP(-M487))</f>
        <v>0.667701503101338</v>
      </c>
      <c r="O487" s="6" t="n">
        <f aca="false">IF(L487=1,N487,1-N487)</f>
        <v>0.332298496898662</v>
      </c>
      <c r="P487" s="6" t="n">
        <f aca="false">LN(O487)</f>
        <v>-1.10172162695814</v>
      </c>
      <c r="AD487" s="8" t="n">
        <f aca="false">B487</f>
        <v>54</v>
      </c>
      <c r="AE487" s="8" t="n">
        <f aca="false">C487</f>
        <v>72700</v>
      </c>
      <c r="AF487" s="8" t="n">
        <f aca="false">D487</f>
        <v>5</v>
      </c>
      <c r="AG487" s="9" t="n">
        <f aca="false">E487*0.85</f>
        <v>82.6795</v>
      </c>
      <c r="AH487" s="9" t="n">
        <f aca="false">F487*0.9</f>
        <v>2.7</v>
      </c>
      <c r="AI487" s="9" t="n">
        <f aca="false">G487</f>
        <v>0.57</v>
      </c>
      <c r="AJ487" s="9" t="n">
        <f aca="false">H487*1.2</f>
        <v>333.6</v>
      </c>
      <c r="AK487" s="8" t="n">
        <f aca="false">I487</f>
        <v>1</v>
      </c>
      <c r="AL487" s="8" t="n">
        <f aca="false">J487</f>
        <v>1</v>
      </c>
      <c r="AM487" s="9" t="n">
        <f aca="false">K487</f>
        <v>0.43</v>
      </c>
      <c r="AN487" s="6" t="n">
        <f aca="false">$R$2 + SUMPRODUCT(AD487:AM487,$S$2:$AB$2)</f>
        <v>0.1468496835</v>
      </c>
      <c r="AO487" s="6" t="n">
        <f aca="false">1/(1+EXP(-AN487))</f>
        <v>0.536646588080462</v>
      </c>
    </row>
    <row r="488" customFormat="false" ht="15" hidden="false" customHeight="false" outlineLevel="0" collapsed="false">
      <c r="A488" s="3" t="s">
        <v>552</v>
      </c>
      <c r="B488" s="4" t="n">
        <v>43</v>
      </c>
      <c r="C488" s="4" t="n">
        <v>85000</v>
      </c>
      <c r="D488" s="4" t="n">
        <v>6</v>
      </c>
      <c r="E488" s="5" t="n">
        <v>55.07</v>
      </c>
      <c r="F488" s="4" t="n">
        <v>2</v>
      </c>
      <c r="G488" s="5" t="n">
        <v>0.6</v>
      </c>
      <c r="H488" s="4" t="n">
        <v>248</v>
      </c>
      <c r="I488" s="4" t="n">
        <v>1</v>
      </c>
      <c r="J488" s="4" t="n">
        <v>0</v>
      </c>
      <c r="K488" s="5" t="n">
        <v>0.04</v>
      </c>
      <c r="L488" s="4" t="n">
        <v>1</v>
      </c>
      <c r="M488" s="6" t="n">
        <f aca="false">$R$2 + SUMPRODUCT(B488:K488,$S$2:$AB$2)</f>
        <v>-0.238054769999999</v>
      </c>
      <c r="N488" s="6" t="n">
        <f aca="false">1/(1+EXP(-M488))</f>
        <v>0.440765777624978</v>
      </c>
      <c r="O488" s="6" t="n">
        <f aca="false">IF(L488=1,N488,1-N488)</f>
        <v>0.440765777624978</v>
      </c>
      <c r="P488" s="6" t="n">
        <f aca="false">LN(O488)</f>
        <v>-0.819241661124266</v>
      </c>
      <c r="AD488" s="8" t="n">
        <f aca="false">B488</f>
        <v>43</v>
      </c>
      <c r="AE488" s="8" t="n">
        <f aca="false">C488</f>
        <v>85000</v>
      </c>
      <c r="AF488" s="8" t="n">
        <f aca="false">D488</f>
        <v>6</v>
      </c>
      <c r="AG488" s="9" t="n">
        <f aca="false">E488*0.85</f>
        <v>46.8095</v>
      </c>
      <c r="AH488" s="9" t="n">
        <f aca="false">F488*0.9</f>
        <v>1.8</v>
      </c>
      <c r="AI488" s="9" t="n">
        <f aca="false">G488</f>
        <v>0.6</v>
      </c>
      <c r="AJ488" s="9" t="n">
        <f aca="false">H488*1.2</f>
        <v>297.6</v>
      </c>
      <c r="AK488" s="8" t="n">
        <f aca="false">I488</f>
        <v>1</v>
      </c>
      <c r="AL488" s="8" t="n">
        <f aca="false">J488</f>
        <v>0</v>
      </c>
      <c r="AM488" s="9" t="n">
        <f aca="false">K488</f>
        <v>0.04</v>
      </c>
      <c r="AN488" s="6" t="n">
        <f aca="false">$R$2 + SUMPRODUCT(AD488:AM488,$S$2:$AB$2)</f>
        <v>-0.657827466499999</v>
      </c>
      <c r="AO488" s="6" t="n">
        <f aca="false">1/(1+EXP(-AN488))</f>
        <v>0.341227809787313</v>
      </c>
    </row>
    <row r="489" customFormat="false" ht="15" hidden="false" customHeight="false" outlineLevel="0" collapsed="false">
      <c r="A489" s="3" t="s">
        <v>553</v>
      </c>
      <c r="B489" s="4" t="n">
        <v>40</v>
      </c>
      <c r="C489" s="4" t="n">
        <v>73300</v>
      </c>
      <c r="D489" s="4" t="n">
        <v>6</v>
      </c>
      <c r="E489" s="5" t="n">
        <v>37.44</v>
      </c>
      <c r="F489" s="4" t="n">
        <v>4</v>
      </c>
      <c r="G489" s="5" t="n">
        <v>0.4</v>
      </c>
      <c r="H489" s="4" t="n">
        <v>177</v>
      </c>
      <c r="I489" s="4" t="n">
        <v>1</v>
      </c>
      <c r="J489" s="4" t="n">
        <v>0</v>
      </c>
      <c r="K489" s="5" t="n">
        <v>0.36</v>
      </c>
      <c r="L489" s="4" t="n">
        <v>0</v>
      </c>
      <c r="M489" s="6" t="n">
        <f aca="false">$R$2 + SUMPRODUCT(B489:K489,$S$2:$AB$2)</f>
        <v>-0.0340531999999998</v>
      </c>
      <c r="N489" s="6" t="n">
        <f aca="false">1/(1+EXP(-M489))</f>
        <v>0.491487522587662</v>
      </c>
      <c r="O489" s="6" t="n">
        <f aca="false">IF(L489=1,N489,1-N489)</f>
        <v>0.508512477412338</v>
      </c>
      <c r="P489" s="6" t="n">
        <f aca="false">LN(O489)</f>
        <v>-0.676265526110519</v>
      </c>
      <c r="AD489" s="8" t="n">
        <f aca="false">B489</f>
        <v>40</v>
      </c>
      <c r="AE489" s="8" t="n">
        <f aca="false">C489</f>
        <v>73300</v>
      </c>
      <c r="AF489" s="8" t="n">
        <f aca="false">D489</f>
        <v>6</v>
      </c>
      <c r="AG489" s="9" t="n">
        <f aca="false">E489*0.85</f>
        <v>31.824</v>
      </c>
      <c r="AH489" s="9" t="n">
        <f aca="false">F489*0.9</f>
        <v>3.6</v>
      </c>
      <c r="AI489" s="9" t="n">
        <f aca="false">G489</f>
        <v>0.4</v>
      </c>
      <c r="AJ489" s="9" t="n">
        <f aca="false">H489*1.2</f>
        <v>212.4</v>
      </c>
      <c r="AK489" s="8" t="n">
        <f aca="false">I489</f>
        <v>1</v>
      </c>
      <c r="AL489" s="8" t="n">
        <f aca="false">J489</f>
        <v>0</v>
      </c>
      <c r="AM489" s="9" t="n">
        <f aca="false">K489</f>
        <v>0.36</v>
      </c>
      <c r="AN489" s="6" t="n">
        <f aca="false">$R$2 + SUMPRODUCT(AD489:AM489,$S$2:$AB$2)</f>
        <v>-0.359751328</v>
      </c>
      <c r="AO489" s="6" t="n">
        <f aca="false">1/(1+EXP(-AN489))</f>
        <v>0.41101976375284</v>
      </c>
    </row>
    <row r="490" customFormat="false" ht="15" hidden="false" customHeight="false" outlineLevel="0" collapsed="false">
      <c r="A490" s="3" t="s">
        <v>554</v>
      </c>
      <c r="B490" s="4" t="n">
        <v>26</v>
      </c>
      <c r="C490" s="4" t="n">
        <v>21900</v>
      </c>
      <c r="D490" s="4" t="n">
        <v>10</v>
      </c>
      <c r="E490" s="5" t="n">
        <v>73.69</v>
      </c>
      <c r="F490" s="4" t="n">
        <v>3</v>
      </c>
      <c r="G490" s="5" t="n">
        <v>0.33</v>
      </c>
      <c r="H490" s="4" t="n">
        <v>52</v>
      </c>
      <c r="I490" s="4" t="n">
        <v>0</v>
      </c>
      <c r="J490" s="4" t="n">
        <v>1</v>
      </c>
      <c r="K490" s="5" t="n">
        <v>0.41</v>
      </c>
      <c r="L490" s="4" t="n">
        <v>1</v>
      </c>
      <c r="M490" s="6" t="n">
        <f aca="false">$R$2 + SUMPRODUCT(B490:K490,$S$2:$AB$2)</f>
        <v>0.63760173</v>
      </c>
      <c r="N490" s="6" t="n">
        <f aca="false">1/(1+EXP(-M490))</f>
        <v>0.654211127373824</v>
      </c>
      <c r="O490" s="6" t="n">
        <f aca="false">IF(L490=1,N490,1-N490)</f>
        <v>0.654211127373824</v>
      </c>
      <c r="P490" s="6" t="n">
        <f aca="false">LN(O490)</f>
        <v>-0.424325154891013</v>
      </c>
      <c r="AD490" s="8" t="n">
        <f aca="false">B490</f>
        <v>26</v>
      </c>
      <c r="AE490" s="8" t="n">
        <f aca="false">C490</f>
        <v>21900</v>
      </c>
      <c r="AF490" s="8" t="n">
        <f aca="false">D490</f>
        <v>10</v>
      </c>
      <c r="AG490" s="9" t="n">
        <f aca="false">E490*0.85</f>
        <v>62.6365</v>
      </c>
      <c r="AH490" s="9" t="n">
        <f aca="false">F490*0.9</f>
        <v>2.7</v>
      </c>
      <c r="AI490" s="9" t="n">
        <f aca="false">G490</f>
        <v>0.33</v>
      </c>
      <c r="AJ490" s="9" t="n">
        <f aca="false">H490*1.2</f>
        <v>62.4</v>
      </c>
      <c r="AK490" s="8" t="n">
        <f aca="false">I490</f>
        <v>0</v>
      </c>
      <c r="AL490" s="8" t="n">
        <f aca="false">J490</f>
        <v>1</v>
      </c>
      <c r="AM490" s="9" t="n">
        <f aca="false">K490</f>
        <v>0.41</v>
      </c>
      <c r="AN490" s="6" t="n">
        <f aca="false">$R$2 + SUMPRODUCT(AD490:AM490,$S$2:$AB$2)</f>
        <v>0.394417964500001</v>
      </c>
      <c r="AO490" s="6" t="n">
        <f aca="false">1/(1+EXP(-AN490))</f>
        <v>0.597345780372724</v>
      </c>
    </row>
    <row r="491" customFormat="false" ht="15" hidden="false" customHeight="false" outlineLevel="0" collapsed="false">
      <c r="A491" s="3" t="s">
        <v>555</v>
      </c>
      <c r="B491" s="4" t="n">
        <v>29</v>
      </c>
      <c r="C491" s="4" t="n">
        <v>32000</v>
      </c>
      <c r="D491" s="4" t="n">
        <v>5</v>
      </c>
      <c r="E491" s="5" t="n">
        <v>67.17</v>
      </c>
      <c r="F491" s="4" t="n">
        <v>6</v>
      </c>
      <c r="G491" s="5" t="n">
        <v>0.59</v>
      </c>
      <c r="H491" s="4" t="n">
        <v>79</v>
      </c>
      <c r="I491" s="4" t="n">
        <v>1</v>
      </c>
      <c r="J491" s="4" t="n">
        <v>1</v>
      </c>
      <c r="K491" s="5" t="n">
        <v>0.24</v>
      </c>
      <c r="L491" s="4" t="n">
        <v>1</v>
      </c>
      <c r="M491" s="6" t="n">
        <f aca="false">$R$2 + SUMPRODUCT(B491:K491,$S$2:$AB$2)</f>
        <v>0.95617942</v>
      </c>
      <c r="N491" s="6" t="n">
        <f aca="false">1/(1+EXP(-M491))</f>
        <v>0.722356209653038</v>
      </c>
      <c r="O491" s="6" t="n">
        <f aca="false">IF(L491=1,N491,1-N491)</f>
        <v>0.722356209653038</v>
      </c>
      <c r="P491" s="6" t="n">
        <f aca="false">LN(O491)</f>
        <v>-0.325236896583478</v>
      </c>
      <c r="AD491" s="8" t="n">
        <f aca="false">B491</f>
        <v>29</v>
      </c>
      <c r="AE491" s="8" t="n">
        <f aca="false">C491</f>
        <v>32000</v>
      </c>
      <c r="AF491" s="8" t="n">
        <f aca="false">D491</f>
        <v>5</v>
      </c>
      <c r="AG491" s="9" t="n">
        <f aca="false">E491*0.85</f>
        <v>57.0945</v>
      </c>
      <c r="AH491" s="9" t="n">
        <f aca="false">F491*0.9</f>
        <v>5.4</v>
      </c>
      <c r="AI491" s="9" t="n">
        <f aca="false">G491</f>
        <v>0.59</v>
      </c>
      <c r="AJ491" s="9" t="n">
        <f aca="false">H491*1.2</f>
        <v>94.8</v>
      </c>
      <c r="AK491" s="8" t="n">
        <f aca="false">I491</f>
        <v>1</v>
      </c>
      <c r="AL491" s="8" t="n">
        <f aca="false">J491</f>
        <v>1</v>
      </c>
      <c r="AM491" s="9" t="n">
        <f aca="false">K491</f>
        <v>0.24</v>
      </c>
      <c r="AN491" s="6" t="n">
        <f aca="false">$R$2 + SUMPRODUCT(AD491:AM491,$S$2:$AB$2)</f>
        <v>0.660221028500001</v>
      </c>
      <c r="AO491" s="6" t="n">
        <f aca="false">1/(1+EXP(-AN491))</f>
        <v>0.659310037690042</v>
      </c>
    </row>
    <row r="492" customFormat="false" ht="15" hidden="false" customHeight="false" outlineLevel="0" collapsed="false">
      <c r="A492" s="3" t="s">
        <v>556</v>
      </c>
      <c r="B492" s="4" t="n">
        <v>18</v>
      </c>
      <c r="C492" s="4" t="n">
        <v>43800</v>
      </c>
      <c r="D492" s="4" t="n">
        <v>4</v>
      </c>
      <c r="E492" s="5" t="n">
        <v>73.89</v>
      </c>
      <c r="F492" s="4" t="n">
        <v>3</v>
      </c>
      <c r="G492" s="5" t="n">
        <v>0.66</v>
      </c>
      <c r="H492" s="4" t="n">
        <v>322</v>
      </c>
      <c r="I492" s="4" t="n">
        <v>0</v>
      </c>
      <c r="J492" s="4" t="n">
        <v>1</v>
      </c>
      <c r="K492" s="5" t="n">
        <v>0.23</v>
      </c>
      <c r="L492" s="4" t="n">
        <v>1</v>
      </c>
      <c r="M492" s="6" t="n">
        <f aca="false">$R$2 + SUMPRODUCT(B492:K492,$S$2:$AB$2)</f>
        <v>-1.11262618</v>
      </c>
      <c r="N492" s="6" t="n">
        <f aca="false">1/(1+EXP(-M492))</f>
        <v>0.247381611679399</v>
      </c>
      <c r="O492" s="6" t="n">
        <f aca="false">IF(L492=1,N492,1-N492)</f>
        <v>0.247381611679399</v>
      </c>
      <c r="P492" s="6" t="n">
        <f aca="false">LN(O492)</f>
        <v>-1.39682314806175</v>
      </c>
      <c r="AD492" s="8" t="n">
        <f aca="false">B492</f>
        <v>18</v>
      </c>
      <c r="AE492" s="8" t="n">
        <f aca="false">C492</f>
        <v>43800</v>
      </c>
      <c r="AF492" s="8" t="n">
        <f aca="false">D492</f>
        <v>4</v>
      </c>
      <c r="AG492" s="9" t="n">
        <f aca="false">E492*0.85</f>
        <v>62.8065</v>
      </c>
      <c r="AH492" s="9" t="n">
        <f aca="false">F492*0.9</f>
        <v>2.7</v>
      </c>
      <c r="AI492" s="9" t="n">
        <f aca="false">G492</f>
        <v>0.66</v>
      </c>
      <c r="AJ492" s="9" t="n">
        <f aca="false">H492*1.2</f>
        <v>386.4</v>
      </c>
      <c r="AK492" s="8" t="n">
        <f aca="false">I492</f>
        <v>0</v>
      </c>
      <c r="AL492" s="8" t="n">
        <f aca="false">J492</f>
        <v>1</v>
      </c>
      <c r="AM492" s="9" t="n">
        <f aca="false">K492</f>
        <v>0.23</v>
      </c>
      <c r="AN492" s="6" t="n">
        <f aca="false">$R$2 + SUMPRODUCT(AD492:AM492,$S$2:$AB$2)</f>
        <v>-1.6671449355</v>
      </c>
      <c r="AO492" s="6" t="n">
        <f aca="false">1/(1+EXP(-AN492))</f>
        <v>0.158805204380999</v>
      </c>
    </row>
    <row r="493" customFormat="false" ht="15" hidden="false" customHeight="false" outlineLevel="0" collapsed="false">
      <c r="A493" s="3" t="s">
        <v>557</v>
      </c>
      <c r="B493" s="4" t="n">
        <v>18</v>
      </c>
      <c r="C493" s="4" t="n">
        <v>55500</v>
      </c>
      <c r="D493" s="4" t="n">
        <v>3</v>
      </c>
      <c r="E493" s="5" t="n">
        <v>69.79</v>
      </c>
      <c r="F493" s="4" t="n">
        <v>6</v>
      </c>
      <c r="G493" s="5" t="n">
        <v>0.06</v>
      </c>
      <c r="H493" s="4" t="n">
        <v>64</v>
      </c>
      <c r="I493" s="4" t="n">
        <v>1</v>
      </c>
      <c r="J493" s="4" t="n">
        <v>0</v>
      </c>
      <c r="K493" s="5" t="n">
        <v>0.1</v>
      </c>
      <c r="L493" s="4" t="n">
        <v>1</v>
      </c>
      <c r="M493" s="6" t="n">
        <f aca="false">$R$2 + SUMPRODUCT(B493:K493,$S$2:$AB$2)</f>
        <v>-0.297265369999999</v>
      </c>
      <c r="N493" s="6" t="n">
        <f aca="false">1/(1+EXP(-M493))</f>
        <v>0.426226121921174</v>
      </c>
      <c r="O493" s="6" t="n">
        <f aca="false">IF(L493=1,N493,1-N493)</f>
        <v>0.426226121921174</v>
      </c>
      <c r="P493" s="6" t="n">
        <f aca="false">LN(O493)</f>
        <v>-0.852785270906788</v>
      </c>
      <c r="AD493" s="8" t="n">
        <f aca="false">B493</f>
        <v>18</v>
      </c>
      <c r="AE493" s="8" t="n">
        <f aca="false">C493</f>
        <v>55500</v>
      </c>
      <c r="AF493" s="8" t="n">
        <f aca="false">D493</f>
        <v>3</v>
      </c>
      <c r="AG493" s="9" t="n">
        <f aca="false">E493*0.85</f>
        <v>59.3215</v>
      </c>
      <c r="AH493" s="9" t="n">
        <f aca="false">F493*0.9</f>
        <v>5.4</v>
      </c>
      <c r="AI493" s="9" t="n">
        <f aca="false">G493</f>
        <v>0.06</v>
      </c>
      <c r="AJ493" s="9" t="n">
        <f aca="false">H493*1.2</f>
        <v>76.8</v>
      </c>
      <c r="AK493" s="8" t="n">
        <f aca="false">I493</f>
        <v>1</v>
      </c>
      <c r="AL493" s="8" t="n">
        <f aca="false">J493</f>
        <v>0</v>
      </c>
      <c r="AM493" s="9" t="n">
        <f aca="false">K493</f>
        <v>0.1</v>
      </c>
      <c r="AN493" s="6" t="n">
        <f aca="false">$R$2 + SUMPRODUCT(AD493:AM493,$S$2:$AB$2)</f>
        <v>-0.5812289305</v>
      </c>
      <c r="AO493" s="6" t="n">
        <f aca="false">1/(1+EXP(-AN493))</f>
        <v>0.358649865823127</v>
      </c>
    </row>
    <row r="494" customFormat="false" ht="15" hidden="false" customHeight="false" outlineLevel="0" collapsed="false">
      <c r="A494" s="3" t="s">
        <v>558</v>
      </c>
      <c r="B494" s="4" t="n">
        <v>64</v>
      </c>
      <c r="C494" s="4" t="n">
        <v>64300</v>
      </c>
      <c r="D494" s="4" t="n">
        <v>6</v>
      </c>
      <c r="E494" s="5" t="n">
        <v>77.66</v>
      </c>
      <c r="F494" s="4" t="n">
        <v>2</v>
      </c>
      <c r="G494" s="5" t="n">
        <v>0.3</v>
      </c>
      <c r="H494" s="4" t="n">
        <v>8</v>
      </c>
      <c r="I494" s="4" t="n">
        <v>0</v>
      </c>
      <c r="J494" s="4" t="n">
        <v>1</v>
      </c>
      <c r="K494" s="5" t="n">
        <v>0.17</v>
      </c>
      <c r="L494" s="4" t="n">
        <v>1</v>
      </c>
      <c r="M494" s="6" t="n">
        <f aca="false">$R$2 + SUMPRODUCT(B494:K494,$S$2:$AB$2)</f>
        <v>0.28614969</v>
      </c>
      <c r="N494" s="6" t="n">
        <f aca="false">1/(1+EXP(-M494))</f>
        <v>0.571053253086082</v>
      </c>
      <c r="O494" s="6" t="n">
        <f aca="false">IF(L494=1,N494,1-N494)</f>
        <v>0.571053253086082</v>
      </c>
      <c r="P494" s="6" t="n">
        <f aca="false">LN(O494)</f>
        <v>-0.560272810827057</v>
      </c>
      <c r="AD494" s="8" t="n">
        <f aca="false">B494</f>
        <v>64</v>
      </c>
      <c r="AE494" s="8" t="n">
        <f aca="false">C494</f>
        <v>64300</v>
      </c>
      <c r="AF494" s="8" t="n">
        <f aca="false">D494</f>
        <v>6</v>
      </c>
      <c r="AG494" s="9" t="n">
        <f aca="false">E494*0.85</f>
        <v>66.011</v>
      </c>
      <c r="AH494" s="9" t="n">
        <f aca="false">F494*0.9</f>
        <v>1.8</v>
      </c>
      <c r="AI494" s="9" t="n">
        <f aca="false">G494</f>
        <v>0.3</v>
      </c>
      <c r="AJ494" s="9" t="n">
        <f aca="false">H494*1.2</f>
        <v>9.6</v>
      </c>
      <c r="AK494" s="8" t="n">
        <f aca="false">I494</f>
        <v>0</v>
      </c>
      <c r="AL494" s="8" t="n">
        <f aca="false">J494</f>
        <v>1</v>
      </c>
      <c r="AM494" s="9" t="n">
        <f aca="false">K494</f>
        <v>0.17</v>
      </c>
      <c r="AN494" s="6" t="n">
        <f aca="false">$R$2 + SUMPRODUCT(AD494:AM494,$S$2:$AB$2)</f>
        <v>0.0972432730000001</v>
      </c>
      <c r="AO494" s="6" t="n">
        <f aca="false">1/(1+EXP(-AN494))</f>
        <v>0.524291678908793</v>
      </c>
    </row>
    <row r="495" customFormat="false" ht="15" hidden="false" customHeight="false" outlineLevel="0" collapsed="false">
      <c r="A495" s="3" t="s">
        <v>559</v>
      </c>
      <c r="B495" s="4" t="n">
        <v>51</v>
      </c>
      <c r="C495" s="4" t="n">
        <v>41900</v>
      </c>
      <c r="D495" s="4" t="n">
        <v>3</v>
      </c>
      <c r="E495" s="5" t="n">
        <v>101.18</v>
      </c>
      <c r="F495" s="4" t="n">
        <v>5</v>
      </c>
      <c r="G495" s="5" t="n">
        <v>0.65</v>
      </c>
      <c r="H495" s="4" t="n">
        <v>214</v>
      </c>
      <c r="I495" s="4" t="n">
        <v>0</v>
      </c>
      <c r="J495" s="4" t="n">
        <v>1</v>
      </c>
      <c r="K495" s="5" t="n">
        <v>0.67</v>
      </c>
      <c r="L495" s="4" t="n">
        <v>0</v>
      </c>
      <c r="M495" s="6" t="n">
        <f aca="false">$R$2 + SUMPRODUCT(B495:K495,$S$2:$AB$2)</f>
        <v>-0.0203577999999993</v>
      </c>
      <c r="N495" s="6" t="n">
        <f aca="false">1/(1+EXP(-M495))</f>
        <v>0.494910725765363</v>
      </c>
      <c r="O495" s="6" t="n">
        <f aca="false">IF(L495=1,N495,1-N495)</f>
        <v>0.505089274234637</v>
      </c>
      <c r="P495" s="6" t="n">
        <f aca="false">LN(O495)</f>
        <v>-0.68302008466799</v>
      </c>
      <c r="AD495" s="8" t="n">
        <f aca="false">B495</f>
        <v>51</v>
      </c>
      <c r="AE495" s="8" t="n">
        <f aca="false">C495</f>
        <v>41900</v>
      </c>
      <c r="AF495" s="8" t="n">
        <f aca="false">D495</f>
        <v>3</v>
      </c>
      <c r="AG495" s="9" t="n">
        <f aca="false">E495*0.85</f>
        <v>86.003</v>
      </c>
      <c r="AH495" s="9" t="n">
        <f aca="false">F495*0.9</f>
        <v>4.5</v>
      </c>
      <c r="AI495" s="9" t="n">
        <f aca="false">G495</f>
        <v>0.65</v>
      </c>
      <c r="AJ495" s="9" t="n">
        <f aca="false">H495*1.2</f>
        <v>256.8</v>
      </c>
      <c r="AK495" s="8" t="n">
        <f aca="false">I495</f>
        <v>0</v>
      </c>
      <c r="AL495" s="8" t="n">
        <f aca="false">J495</f>
        <v>1</v>
      </c>
      <c r="AM495" s="9" t="n">
        <f aca="false">K495</f>
        <v>0.67</v>
      </c>
      <c r="AN495" s="6" t="n">
        <f aca="false">$R$2 + SUMPRODUCT(AD495:AM495,$S$2:$AB$2)</f>
        <v>-0.528704341</v>
      </c>
      <c r="AO495" s="6" t="n">
        <f aca="false">1/(1+EXP(-AN495))</f>
        <v>0.370819130587834</v>
      </c>
    </row>
    <row r="496" customFormat="false" ht="15" hidden="false" customHeight="false" outlineLevel="0" collapsed="false">
      <c r="A496" s="3" t="s">
        <v>560</v>
      </c>
      <c r="B496" s="4" t="n">
        <v>49</v>
      </c>
      <c r="C496" s="4" t="n">
        <v>58400</v>
      </c>
      <c r="D496" s="4" t="n">
        <v>4</v>
      </c>
      <c r="E496" s="5" t="n">
        <v>79.2</v>
      </c>
      <c r="F496" s="4" t="n">
        <v>4</v>
      </c>
      <c r="G496" s="5" t="n">
        <v>0.32</v>
      </c>
      <c r="H496" s="4" t="n">
        <v>25</v>
      </c>
      <c r="I496" s="4" t="n">
        <v>0</v>
      </c>
      <c r="J496" s="4" t="n">
        <v>0</v>
      </c>
      <c r="K496" s="5" t="n">
        <v>0.23</v>
      </c>
      <c r="L496" s="4" t="n">
        <v>1</v>
      </c>
      <c r="M496" s="6" t="n">
        <f aca="false">$R$2 + SUMPRODUCT(B496:K496,$S$2:$AB$2)</f>
        <v>-0.42777309</v>
      </c>
      <c r="N496" s="6" t="n">
        <f aca="false">1/(1+EXP(-M496))</f>
        <v>0.394658222298363</v>
      </c>
      <c r="O496" s="6" t="n">
        <f aca="false">IF(L496=1,N496,1-N496)</f>
        <v>0.394658222298363</v>
      </c>
      <c r="P496" s="6" t="n">
        <f aca="false">LN(O496)</f>
        <v>-0.92973514863867</v>
      </c>
      <c r="AD496" s="8" t="n">
        <f aca="false">B496</f>
        <v>49</v>
      </c>
      <c r="AE496" s="8" t="n">
        <f aca="false">C496</f>
        <v>58400</v>
      </c>
      <c r="AF496" s="8" t="n">
        <f aca="false">D496</f>
        <v>4</v>
      </c>
      <c r="AG496" s="9" t="n">
        <f aca="false">E496*0.85</f>
        <v>67.32</v>
      </c>
      <c r="AH496" s="9" t="n">
        <f aca="false">F496*0.9</f>
        <v>3.6</v>
      </c>
      <c r="AI496" s="9" t="n">
        <f aca="false">G496</f>
        <v>0.32</v>
      </c>
      <c r="AJ496" s="9" t="n">
        <f aca="false">H496*1.2</f>
        <v>30</v>
      </c>
      <c r="AK496" s="8" t="n">
        <f aca="false">I496</f>
        <v>0</v>
      </c>
      <c r="AL496" s="8" t="n">
        <f aca="false">J496</f>
        <v>0</v>
      </c>
      <c r="AM496" s="9" t="n">
        <f aca="false">K496</f>
        <v>0.23</v>
      </c>
      <c r="AN496" s="6" t="n">
        <f aca="false">$R$2 + SUMPRODUCT(AD496:AM496,$S$2:$AB$2)</f>
        <v>-0.66257233</v>
      </c>
      <c r="AO496" s="6" t="n">
        <f aca="false">1/(1+EXP(-AN496))</f>
        <v>0.340162010240332</v>
      </c>
    </row>
    <row r="497" customFormat="false" ht="15" hidden="false" customHeight="false" outlineLevel="0" collapsed="false">
      <c r="A497" s="3" t="s">
        <v>561</v>
      </c>
      <c r="B497" s="4" t="n">
        <v>65</v>
      </c>
      <c r="C497" s="4" t="n">
        <v>41400</v>
      </c>
      <c r="D497" s="4" t="n">
        <v>4</v>
      </c>
      <c r="E497" s="5" t="n">
        <v>38.76</v>
      </c>
      <c r="F497" s="4" t="n">
        <v>7</v>
      </c>
      <c r="G497" s="5" t="n">
        <v>0.5</v>
      </c>
      <c r="H497" s="4" t="n">
        <v>256</v>
      </c>
      <c r="I497" s="4" t="n">
        <v>0</v>
      </c>
      <c r="J497" s="4" t="n">
        <v>1</v>
      </c>
      <c r="K497" s="5" t="n">
        <v>0.41</v>
      </c>
      <c r="L497" s="4" t="n">
        <v>0</v>
      </c>
      <c r="M497" s="6" t="n">
        <f aca="false">$R$2 + SUMPRODUCT(B497:K497,$S$2:$AB$2)</f>
        <v>-1.39650589</v>
      </c>
      <c r="N497" s="6" t="n">
        <f aca="false">1/(1+EXP(-M497))</f>
        <v>0.198371159418938</v>
      </c>
      <c r="O497" s="6" t="n">
        <f aca="false">IF(L497=1,N497,1-N497)</f>
        <v>0.801628840581062</v>
      </c>
      <c r="P497" s="6" t="n">
        <f aca="false">LN(O497)</f>
        <v>-0.221109570529967</v>
      </c>
      <c r="AD497" s="8" t="n">
        <f aca="false">B497</f>
        <v>65</v>
      </c>
      <c r="AE497" s="8" t="n">
        <f aca="false">C497</f>
        <v>41400</v>
      </c>
      <c r="AF497" s="8" t="n">
        <f aca="false">D497</f>
        <v>4</v>
      </c>
      <c r="AG497" s="9" t="n">
        <f aca="false">E497*0.85</f>
        <v>32.946</v>
      </c>
      <c r="AH497" s="9" t="n">
        <f aca="false">F497*0.9</f>
        <v>6.3</v>
      </c>
      <c r="AI497" s="9" t="n">
        <f aca="false">G497</f>
        <v>0.5</v>
      </c>
      <c r="AJ497" s="9" t="n">
        <f aca="false">H497*1.2</f>
        <v>307.2</v>
      </c>
      <c r="AK497" s="8" t="n">
        <f aca="false">I497</f>
        <v>0</v>
      </c>
      <c r="AL497" s="8" t="n">
        <f aca="false">J497</f>
        <v>1</v>
      </c>
      <c r="AM497" s="9" t="n">
        <f aca="false">K497</f>
        <v>0.41</v>
      </c>
      <c r="AN497" s="6" t="n">
        <f aca="false">$R$2 + SUMPRODUCT(AD497:AM497,$S$2:$AB$2)</f>
        <v>-1.850659052</v>
      </c>
      <c r="AO497" s="6" t="n">
        <f aca="false">1/(1+EXP(-AN497))</f>
        <v>0.135795535324215</v>
      </c>
    </row>
    <row r="498" customFormat="false" ht="15" hidden="false" customHeight="false" outlineLevel="0" collapsed="false">
      <c r="A498" s="3" t="s">
        <v>562</v>
      </c>
      <c r="B498" s="4" t="n">
        <v>42</v>
      </c>
      <c r="C498" s="4" t="n">
        <v>44000</v>
      </c>
      <c r="D498" s="4" t="n">
        <v>5</v>
      </c>
      <c r="E498" s="5" t="n">
        <v>99.06</v>
      </c>
      <c r="F498" s="4" t="n">
        <v>4</v>
      </c>
      <c r="G498" s="5" t="n">
        <v>0.36</v>
      </c>
      <c r="H498" s="4" t="n">
        <v>243</v>
      </c>
      <c r="I498" s="4" t="n">
        <v>0</v>
      </c>
      <c r="J498" s="4" t="n">
        <v>0</v>
      </c>
      <c r="K498" s="5" t="n">
        <v>0.35</v>
      </c>
      <c r="L498" s="4" t="n">
        <v>1</v>
      </c>
      <c r="M498" s="6" t="n">
        <f aca="false">$R$2 + SUMPRODUCT(B498:K498,$S$2:$AB$2)</f>
        <v>-1.27489691</v>
      </c>
      <c r="N498" s="6" t="n">
        <f aca="false">1/(1+EXP(-M498))</f>
        <v>0.21842013436719</v>
      </c>
      <c r="O498" s="6" t="n">
        <f aca="false">IF(L498=1,N498,1-N498)</f>
        <v>0.21842013436719</v>
      </c>
      <c r="P498" s="6" t="n">
        <f aca="false">LN(O498)</f>
        <v>-1.52133484903469</v>
      </c>
      <c r="AD498" s="8" t="n">
        <f aca="false">B498</f>
        <v>42</v>
      </c>
      <c r="AE498" s="8" t="n">
        <f aca="false">C498</f>
        <v>44000</v>
      </c>
      <c r="AF498" s="8" t="n">
        <f aca="false">D498</f>
        <v>5</v>
      </c>
      <c r="AG498" s="9" t="n">
        <f aca="false">E498*0.85</f>
        <v>84.201</v>
      </c>
      <c r="AH498" s="9" t="n">
        <f aca="false">F498*0.9</f>
        <v>3.6</v>
      </c>
      <c r="AI498" s="9" t="n">
        <f aca="false">G498</f>
        <v>0.36</v>
      </c>
      <c r="AJ498" s="9" t="n">
        <f aca="false">H498*1.2</f>
        <v>291.6</v>
      </c>
      <c r="AK498" s="8" t="n">
        <f aca="false">I498</f>
        <v>0</v>
      </c>
      <c r="AL498" s="8" t="n">
        <f aca="false">J498</f>
        <v>0</v>
      </c>
      <c r="AM498" s="9" t="n">
        <f aca="false">K498</f>
        <v>0.35</v>
      </c>
      <c r="AN498" s="6" t="n">
        <f aca="false">$R$2 + SUMPRODUCT(AD498:AM498,$S$2:$AB$2)</f>
        <v>-1.800761857</v>
      </c>
      <c r="AO498" s="6" t="n">
        <f aca="false">1/(1+EXP(-AN498))</f>
        <v>0.141758349853037</v>
      </c>
    </row>
    <row r="499" customFormat="false" ht="15" hidden="false" customHeight="false" outlineLevel="0" collapsed="false">
      <c r="A499" s="3" t="s">
        <v>563</v>
      </c>
      <c r="B499" s="4" t="n">
        <v>57</v>
      </c>
      <c r="C499" s="4" t="n">
        <v>29700</v>
      </c>
      <c r="D499" s="4" t="n">
        <v>7</v>
      </c>
      <c r="E499" s="5" t="n">
        <v>106.02</v>
      </c>
      <c r="F499" s="4" t="n">
        <v>2</v>
      </c>
      <c r="G499" s="5" t="n">
        <v>0.39</v>
      </c>
      <c r="H499" s="4" t="n">
        <v>198</v>
      </c>
      <c r="I499" s="4" t="n">
        <v>1</v>
      </c>
      <c r="J499" s="4" t="n">
        <v>1</v>
      </c>
      <c r="K499" s="5" t="n">
        <v>0.46</v>
      </c>
      <c r="L499" s="4" t="n">
        <v>0</v>
      </c>
      <c r="M499" s="6" t="n">
        <f aca="false">$R$2 + SUMPRODUCT(B499:K499,$S$2:$AB$2)</f>
        <v>0.251272530000001</v>
      </c>
      <c r="N499" s="6" t="n">
        <f aca="false">1/(1+EXP(-M499))</f>
        <v>0.562489689067934</v>
      </c>
      <c r="O499" s="6" t="n">
        <f aca="false">IF(L499=1,N499,1-N499)</f>
        <v>0.437510310932066</v>
      </c>
      <c r="P499" s="6" t="n">
        <f aca="false">LN(O499)</f>
        <v>-0.826655005617464</v>
      </c>
      <c r="AD499" s="8" t="n">
        <f aca="false">B499</f>
        <v>57</v>
      </c>
      <c r="AE499" s="8" t="n">
        <f aca="false">C499</f>
        <v>29700</v>
      </c>
      <c r="AF499" s="8" t="n">
        <f aca="false">D499</f>
        <v>7</v>
      </c>
      <c r="AG499" s="9" t="n">
        <f aca="false">E499*0.85</f>
        <v>90.117</v>
      </c>
      <c r="AH499" s="9" t="n">
        <f aca="false">F499*0.9</f>
        <v>1.8</v>
      </c>
      <c r="AI499" s="9" t="n">
        <f aca="false">G499</f>
        <v>0.39</v>
      </c>
      <c r="AJ499" s="9" t="n">
        <f aca="false">H499*1.2</f>
        <v>237.6</v>
      </c>
      <c r="AK499" s="8" t="n">
        <f aca="false">I499</f>
        <v>1</v>
      </c>
      <c r="AL499" s="8" t="n">
        <f aca="false">J499</f>
        <v>1</v>
      </c>
      <c r="AM499" s="9" t="n">
        <f aca="false">K499</f>
        <v>0.46</v>
      </c>
      <c r="AN499" s="6" t="n">
        <f aca="false">$R$2 + SUMPRODUCT(AD499:AM499,$S$2:$AB$2)</f>
        <v>-0.213581869</v>
      </c>
      <c r="AO499" s="6" t="n">
        <f aca="false">1/(1+EXP(-AN499))</f>
        <v>0.446806590443863</v>
      </c>
    </row>
    <row r="500" customFormat="false" ht="15" hidden="false" customHeight="false" outlineLevel="0" collapsed="false">
      <c r="A500" s="3" t="s">
        <v>564</v>
      </c>
      <c r="B500" s="4" t="n">
        <v>62</v>
      </c>
      <c r="C500" s="4" t="n">
        <v>38400</v>
      </c>
      <c r="D500" s="4" t="n">
        <v>3</v>
      </c>
      <c r="E500" s="5" t="n">
        <v>143.8</v>
      </c>
      <c r="F500" s="4" t="n">
        <v>4</v>
      </c>
      <c r="G500" s="5" t="n">
        <v>0.19</v>
      </c>
      <c r="H500" s="4" t="n">
        <v>94</v>
      </c>
      <c r="I500" s="4" t="n">
        <v>0</v>
      </c>
      <c r="J500" s="4" t="n">
        <v>1</v>
      </c>
      <c r="K500" s="5" t="n">
        <v>0.26</v>
      </c>
      <c r="L500" s="4" t="n">
        <v>0</v>
      </c>
      <c r="M500" s="6" t="n">
        <f aca="false">$R$2 + SUMPRODUCT(B500:K500,$S$2:$AB$2)</f>
        <v>-0.307213529999999</v>
      </c>
      <c r="N500" s="6" t="n">
        <f aca="false">1/(1+EXP(-M500))</f>
        <v>0.423795029891306</v>
      </c>
      <c r="O500" s="6" t="n">
        <f aca="false">IF(L500=1,N500,1-N500)</f>
        <v>0.576204970108694</v>
      </c>
      <c r="P500" s="6" t="n">
        <f aca="false">LN(O500)</f>
        <v>-0.551291830703006</v>
      </c>
      <c r="AD500" s="8" t="n">
        <f aca="false">B500</f>
        <v>62</v>
      </c>
      <c r="AE500" s="8" t="n">
        <f aca="false">C500</f>
        <v>38400</v>
      </c>
      <c r="AF500" s="8" t="n">
        <f aca="false">D500</f>
        <v>3</v>
      </c>
      <c r="AG500" s="9" t="n">
        <f aca="false">E500*0.85</f>
        <v>122.23</v>
      </c>
      <c r="AH500" s="9" t="n">
        <f aca="false">F500*0.9</f>
        <v>3.6</v>
      </c>
      <c r="AI500" s="9" t="n">
        <f aca="false">G500</f>
        <v>0.19</v>
      </c>
      <c r="AJ500" s="9" t="n">
        <f aca="false">H500*1.2</f>
        <v>112.8</v>
      </c>
      <c r="AK500" s="8" t="n">
        <f aca="false">I500</f>
        <v>0</v>
      </c>
      <c r="AL500" s="8" t="n">
        <f aca="false">J500</f>
        <v>1</v>
      </c>
      <c r="AM500" s="9" t="n">
        <f aca="false">K500</f>
        <v>0.26</v>
      </c>
      <c r="AN500" s="6" t="n">
        <f aca="false">$R$2 + SUMPRODUCT(AD500:AM500,$S$2:$AB$2)</f>
        <v>-0.751638939999999</v>
      </c>
      <c r="AO500" s="6" t="n">
        <f aca="false">1/(1+EXP(-AN500))</f>
        <v>0.320464288924681</v>
      </c>
    </row>
    <row r="501" customFormat="false" ht="15" hidden="false" customHeight="false" outlineLevel="0" collapsed="false">
      <c r="A501" s="3" t="s">
        <v>565</v>
      </c>
      <c r="B501" s="4" t="n">
        <v>18</v>
      </c>
      <c r="C501" s="4" t="n">
        <v>30700</v>
      </c>
      <c r="D501" s="4" t="n">
        <v>5</v>
      </c>
      <c r="E501" s="5" t="n">
        <v>36.91</v>
      </c>
      <c r="F501" s="4" t="n">
        <v>8</v>
      </c>
      <c r="G501" s="5" t="n">
        <v>0.32</v>
      </c>
      <c r="H501" s="4" t="n">
        <v>207</v>
      </c>
      <c r="I501" s="4" t="n">
        <v>0</v>
      </c>
      <c r="J501" s="4" t="n">
        <v>0</v>
      </c>
      <c r="K501" s="5" t="n">
        <v>0.17</v>
      </c>
      <c r="L501" s="4" t="n">
        <v>0</v>
      </c>
      <c r="M501" s="6" t="n">
        <f aca="false">$R$2 + SUMPRODUCT(B501:K501,$S$2:$AB$2)</f>
        <v>-1.73856664</v>
      </c>
      <c r="N501" s="6" t="n">
        <f aca="false">1/(1+EXP(-M501))</f>
        <v>0.149495089416637</v>
      </c>
      <c r="O501" s="6" t="n">
        <f aca="false">IF(L501=1,N501,1-N501)</f>
        <v>0.850504910583363</v>
      </c>
      <c r="P501" s="6" t="n">
        <f aca="false">LN(O501)</f>
        <v>-0.161925093402321</v>
      </c>
      <c r="AD501" s="8" t="n">
        <f aca="false">B501</f>
        <v>18</v>
      </c>
      <c r="AE501" s="8" t="n">
        <f aca="false">C501</f>
        <v>30700</v>
      </c>
      <c r="AF501" s="8" t="n">
        <f aca="false">D501</f>
        <v>5</v>
      </c>
      <c r="AG501" s="9" t="n">
        <f aca="false">E501*0.85</f>
        <v>31.3735</v>
      </c>
      <c r="AH501" s="9" t="n">
        <f aca="false">F501*0.9</f>
        <v>7.2</v>
      </c>
      <c r="AI501" s="9" t="n">
        <f aca="false">G501</f>
        <v>0.32</v>
      </c>
      <c r="AJ501" s="9" t="n">
        <f aca="false">H501*1.2</f>
        <v>248.4</v>
      </c>
      <c r="AK501" s="8" t="n">
        <f aca="false">I501</f>
        <v>0</v>
      </c>
      <c r="AL501" s="8" t="n">
        <f aca="false">J501</f>
        <v>0</v>
      </c>
      <c r="AM501" s="9" t="n">
        <f aca="false">K501</f>
        <v>0.17</v>
      </c>
      <c r="AN501" s="6" t="n">
        <f aca="false">$R$2 + SUMPRODUCT(AD501:AM501,$S$2:$AB$2)</f>
        <v>-2.1441700445</v>
      </c>
      <c r="AO501" s="6" t="n">
        <f aca="false">1/(1+EXP(-AN501))</f>
        <v>0.104877268450716</v>
      </c>
    </row>
  </sheetData>
  <mergeCells count="2">
    <mergeCell ref="Q20:U20"/>
    <mergeCell ref="Q28:A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19" t="s">
        <v>566</v>
      </c>
      <c r="B1" s="19"/>
      <c r="C1" s="19"/>
      <c r="D1" s="19"/>
      <c r="E1" s="19"/>
      <c r="F1" s="19"/>
    </row>
    <row r="3" customFormat="false" ht="23.85" hidden="false" customHeight="false" outlineLevel="0" collapsed="false">
      <c r="A3" s="1" t="s">
        <v>567</v>
      </c>
      <c r="B3" s="1" t="s">
        <v>568</v>
      </c>
      <c r="C3" s="1" t="s">
        <v>569</v>
      </c>
      <c r="D3" s="1" t="s">
        <v>570</v>
      </c>
      <c r="E3" s="1" t="s">
        <v>571</v>
      </c>
    </row>
    <row r="4" customFormat="false" ht="15" hidden="false" customHeight="false" outlineLevel="0" collapsed="false">
      <c r="A4" s="20" t="s">
        <v>572</v>
      </c>
      <c r="B4" s="21" t="n">
        <f aca="false">'MLE Model'!R6</f>
        <v>0.446699922139714</v>
      </c>
      <c r="C4" s="21" t="n">
        <f aca="false">'MLE Model'!R13</f>
        <v>0.375241111316221</v>
      </c>
      <c r="D4" s="21" t="n">
        <f aca="false">C4-B4</f>
        <v>-0.0714588108234932</v>
      </c>
      <c r="E4" s="21" t="n">
        <f aca="false">(C4-B4)/B4</f>
        <v>-0.159970502079342</v>
      </c>
    </row>
    <row r="5" customFormat="false" ht="15" hidden="false" customHeight="false" outlineLevel="0" collapsed="false">
      <c r="A5" s="20" t="s">
        <v>573</v>
      </c>
      <c r="B5" s="22" t="n">
        <f aca="false">'MLE Model'!R7</f>
        <v>15193.3083913243</v>
      </c>
      <c r="C5" s="22" t="n">
        <f aca="false">'MLE Model'!R14</f>
        <v>10827.0998223981</v>
      </c>
      <c r="D5" s="22" t="n">
        <f aca="false">C5-B5</f>
        <v>-4366.20856892621</v>
      </c>
      <c r="E5" s="21" t="n">
        <f aca="false">(C5-B5)/B5</f>
        <v>-0.287377077886433</v>
      </c>
    </row>
    <row r="6" customFormat="false" ht="15" hidden="false" customHeight="false" outlineLevel="0" collapsed="false">
      <c r="A6" s="20" t="s">
        <v>574</v>
      </c>
      <c r="B6" s="23" t="n">
        <f aca="false">'MLE Model'!R8</f>
        <v>212</v>
      </c>
      <c r="C6" s="23" t="n">
        <f aca="false">'MLE Model'!R15</f>
        <v>145</v>
      </c>
      <c r="D6" s="23" t="n">
        <f aca="false">C6-B6</f>
        <v>-67</v>
      </c>
      <c r="E6" s="21" t="n">
        <f aca="false">(C6-B6)/B6</f>
        <v>-0.316037735849057</v>
      </c>
    </row>
    <row r="7" customFormat="false" ht="15" hidden="false" customHeight="false" outlineLevel="0" collapsed="false">
      <c r="A7" s="20" t="s">
        <v>575</v>
      </c>
      <c r="B7" s="22" t="n">
        <f aca="false">'MLE Model'!R9</f>
        <v>1060</v>
      </c>
      <c r="C7" s="22" t="n">
        <f aca="false">'MLE Model'!R16</f>
        <v>725</v>
      </c>
      <c r="D7" s="22" t="n">
        <f aca="false">C7-B7</f>
        <v>-335</v>
      </c>
      <c r="E7" s="21" t="n">
        <f aca="false">(C7-B7)/B7</f>
        <v>-0.316037735849057</v>
      </c>
    </row>
    <row r="8" customFormat="false" ht="15" hidden="false" customHeight="false" outlineLevel="0" collapsed="false">
      <c r="A8" s="20" t="s">
        <v>576</v>
      </c>
      <c r="B8" s="22" t="n">
        <f aca="false">'MLE Model'!R11</f>
        <v>7.51775702163088</v>
      </c>
      <c r="C8" s="22" t="n">
        <f aca="false">'MLE Model'!R18</f>
        <v>7.53843944641292</v>
      </c>
      <c r="D8" s="22" t="n">
        <f aca="false">C8-B8</f>
        <v>0.0206824247820396</v>
      </c>
      <c r="E8" s="21" t="n">
        <f aca="false">(C8-B8)/B8</f>
        <v>0.00275114302344835</v>
      </c>
    </row>
    <row r="11" customFormat="false" ht="15" hidden="false" customHeight="true" outlineLevel="0" collapsed="false">
      <c r="A11" s="24" t="s">
        <v>577</v>
      </c>
      <c r="B11" s="24"/>
      <c r="C11" s="24"/>
      <c r="D11" s="24"/>
      <c r="E11" s="24"/>
    </row>
    <row r="12" customFormat="false" ht="15" hidden="false" customHeight="false" outlineLevel="0" collapsed="false">
      <c r="A12" s="24"/>
      <c r="B12" s="24"/>
      <c r="C12" s="24"/>
      <c r="D12" s="24"/>
      <c r="E12" s="24"/>
    </row>
    <row r="13" customFormat="false" ht="15" hidden="false" customHeight="false" outlineLevel="0" collapsed="false">
      <c r="A13" s="24"/>
      <c r="B13" s="24"/>
      <c r="C13" s="24"/>
      <c r="D13" s="24"/>
      <c r="E13" s="24"/>
    </row>
    <row r="14" customFormat="false" ht="15" hidden="false" customHeight="false" outlineLevel="0" collapsed="false">
      <c r="A14" s="24"/>
      <c r="B14" s="24"/>
      <c r="C14" s="24"/>
      <c r="D14" s="24"/>
      <c r="E14" s="24"/>
    </row>
    <row r="15" customFormat="false" ht="15" hidden="false" customHeight="false" outlineLevel="0" collapsed="false">
      <c r="A15" s="24"/>
      <c r="B15" s="24"/>
      <c r="C15" s="24"/>
      <c r="D15" s="24"/>
      <c r="E15" s="24"/>
    </row>
    <row r="16" customFormat="false" ht="15" hidden="false" customHeight="false" outlineLevel="0" collapsed="false">
      <c r="A16" s="24"/>
      <c r="B16" s="24"/>
      <c r="C16" s="24"/>
      <c r="D16" s="24"/>
      <c r="E16" s="24"/>
    </row>
    <row r="17" customFormat="false" ht="15" hidden="false" customHeight="false" outlineLevel="0" collapsed="false">
      <c r="A17" s="24"/>
      <c r="B17" s="24"/>
      <c r="C17" s="24"/>
      <c r="D17" s="24"/>
      <c r="E17" s="24"/>
    </row>
  </sheetData>
  <mergeCells count="2">
    <mergeCell ref="A1:F1"/>
    <mergeCell ref="A11:E17"/>
  </mergeCells>
  <conditionalFormatting sqref="E4">
    <cfRule type="cellIs" priority="2" operator="lessThan" aboveAverage="0" equalAverage="0" bottom="0" percent="0" rank="0" text="" dxfId="0">
      <formula>0</formula>
    </cfRule>
    <cfRule type="cellIs" priority="3" operator="greaterThanOrEqual" aboveAverage="0" equalAverage="0" bottom="0" percent="0" rank="0" text="" dxfId="1">
      <formula>0</formula>
    </cfRule>
  </conditionalFormatting>
  <conditionalFormatting sqref="E5">
    <cfRule type="cellIs" priority="4" operator="lessThan" aboveAverage="0" equalAverage="0" bottom="0" percent="0" rank="0" text="" dxfId="0">
      <formula>0</formula>
    </cfRule>
    <cfRule type="cellIs" priority="5" operator="greaterThanOrEqual" aboveAverage="0" equalAverage="0" bottom="0" percent="0" rank="0" text="" dxfId="1">
      <formula>0</formula>
    </cfRule>
  </conditionalFormatting>
  <conditionalFormatting sqref="E6">
    <cfRule type="cellIs" priority="6" operator="lessThan" aboveAverage="0" equalAverage="0" bottom="0" percent="0" rank="0" text="" dxfId="0">
      <formula>0</formula>
    </cfRule>
    <cfRule type="cellIs" priority="7" operator="greaterThanOrEqual" aboveAverage="0" equalAverage="0" bottom="0" percent="0" rank="0" text="" dxfId="1">
      <formula>0</formula>
    </cfRule>
  </conditionalFormatting>
  <conditionalFormatting sqref="E7">
    <cfRule type="cellIs" priority="8" operator="lessThan" aboveAverage="0" equalAverage="0" bottom="0" percent="0" rank="0" text="" dxfId="0">
      <formula>0</formula>
    </cfRule>
    <cfRule type="cellIs" priority="9" operator="greaterThanOrEqual" aboveAverage="0" equalAverage="0" bottom="0" percent="0" rank="0" text="" dxfId="1">
      <formula>0</formula>
    </cfRule>
  </conditionalFormatting>
  <conditionalFormatting sqref="E8">
    <cfRule type="cellIs" priority="10" operator="greaterThan" aboveAverage="0" equalAverage="0" bottom="0" percent="0" rank="0" text="" dxfId="0">
      <formula>0</formula>
    </cfRule>
    <cfRule type="cellIs" priority="11" operator="lessThanOr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2026-08-03T16:36:44Z</dcterms:created>
  <dc:creator>openpyxl</dc:creator>
  <dc:description/>
  <dc:language>en-US</dc:language>
  <cp:lastModifiedBy/>
  <dcterms:modified xsi:type="dcterms:W3CDTF">2026-08-03T16:36:46Z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